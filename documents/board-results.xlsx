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2025" sheetId="1" r:id="rId1"/>
    <sheet name="2024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4" i="3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I78" i="2" l="1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74" i="1"/>
  <c r="I73"/>
  <c r="I72"/>
  <c r="I71"/>
  <c r="I70"/>
  <c r="I69"/>
  <c r="I68"/>
  <c r="Q67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<sst xmlns="http://schemas.openxmlformats.org/spreadsheetml/2006/main" count="375" uniqueCount="364">
  <si>
    <t>CANDID</t>
  </si>
  <si>
    <t>CNAME</t>
  </si>
  <si>
    <t>ENGLISH</t>
  </si>
  <si>
    <t>HINDI</t>
  </si>
  <si>
    <t>KANNADA</t>
  </si>
  <si>
    <t>MATHS</t>
  </si>
  <si>
    <t>SCIENCE</t>
  </si>
  <si>
    <t>SOCIAL</t>
  </si>
  <si>
    <t>TOTAL</t>
  </si>
  <si>
    <t>18189711</t>
  </si>
  <si>
    <t>ANAN RAVINDRA</t>
  </si>
  <si>
    <t>18189745</t>
  </si>
  <si>
    <t>PRANAMYA S J</t>
  </si>
  <si>
    <t>18189727</t>
  </si>
  <si>
    <t>G ABHIJNA HEGDE</t>
  </si>
  <si>
    <t>18189729</t>
  </si>
  <si>
    <t>JAI ADITHYA K</t>
  </si>
  <si>
    <t>18189751</t>
  </si>
  <si>
    <t>SAANVI SHENOY A</t>
  </si>
  <si>
    <t>18189761</t>
  </si>
  <si>
    <t>TANAY M RAO</t>
  </si>
  <si>
    <t>18189766</t>
  </si>
  <si>
    <t>TEJAS GANGADHAR BIRADAR</t>
  </si>
  <si>
    <t>18189738</t>
  </si>
  <si>
    <t>MOHITH I P</t>
  </si>
  <si>
    <t>18189717</t>
  </si>
  <si>
    <t>AYUSH RAJESH POOJARY</t>
  </si>
  <si>
    <t>18189753</t>
  </si>
  <si>
    <t>SAMARTH SUBRAMANYA M P</t>
  </si>
  <si>
    <t>18189732</t>
  </si>
  <si>
    <t>KUSHAL GOWDA H M</t>
  </si>
  <si>
    <t>18189769</t>
  </si>
  <si>
    <t>VEDIC K S</t>
  </si>
  <si>
    <t>18189744</t>
  </si>
  <si>
    <t>PRANAM P KOTIAN</t>
  </si>
  <si>
    <t>18189741</t>
  </si>
  <si>
    <t>NEERAJ PATEL R</t>
  </si>
  <si>
    <t>18189718</t>
  </si>
  <si>
    <t>AYUSH RAJU GURAV</t>
  </si>
  <si>
    <t>18189706</t>
  </si>
  <si>
    <t>ADITYA RAMACHANDRA HORATTI</t>
  </si>
  <si>
    <t>18189759</t>
  </si>
  <si>
    <t>SOURAAG HEGDE</t>
  </si>
  <si>
    <t>18189712</t>
  </si>
  <si>
    <t>ANKITA M K</t>
  </si>
  <si>
    <t>18189755</t>
  </si>
  <si>
    <t>AADHYA DINESH SHETTY</t>
  </si>
  <si>
    <t>18189773</t>
  </si>
  <si>
    <t>YUVAN S GOWDA</t>
  </si>
  <si>
    <t>18189725</t>
  </si>
  <si>
    <t>DAKSH SHIVANAND SHETTY</t>
  </si>
  <si>
    <t>18189750</t>
  </si>
  <si>
    <t>SAANVI S DEVADIGA</t>
  </si>
  <si>
    <t>18189756</t>
  </si>
  <si>
    <t>SHIVANI ADIGA</t>
  </si>
  <si>
    <t>18189713</t>
  </si>
  <si>
    <t>ARADHANA KAMATH</t>
  </si>
  <si>
    <t>18189748</t>
  </si>
  <si>
    <t>RAHUL ASHOK TERADAL</t>
  </si>
  <si>
    <t>18189730</t>
  </si>
  <si>
    <t>JAYANTH B M</t>
  </si>
  <si>
    <t>18189770</t>
  </si>
  <si>
    <t>VERINA VEA NORONHA</t>
  </si>
  <si>
    <t>18189739</t>
  </si>
  <si>
    <t>NAGASHREE</t>
  </si>
  <si>
    <t>18189771</t>
  </si>
  <si>
    <t>VINAY N R</t>
  </si>
  <si>
    <t>18189724</t>
  </si>
  <si>
    <t>CHIRAYU K L</t>
  </si>
  <si>
    <t>18189735</t>
  </si>
  <si>
    <t>MALLU YARAGANAVI</t>
  </si>
  <si>
    <t>18189703</t>
  </si>
  <si>
    <t>ABHISHEK ADIVEPPA KARAGUPPI</t>
  </si>
  <si>
    <t>18189733</t>
  </si>
  <si>
    <t>LENORA D SOUZA</t>
  </si>
  <si>
    <t>18189754</t>
  </si>
  <si>
    <t>SHAIK RIDA</t>
  </si>
  <si>
    <t>18189749</t>
  </si>
  <si>
    <t>SHIVANI S</t>
  </si>
  <si>
    <t>18189768</t>
  </si>
  <si>
    <t>VAISHAKH KUMAR JAIN</t>
  </si>
  <si>
    <t>18189710</t>
  </si>
  <si>
    <t>AMEY PATIL</t>
  </si>
  <si>
    <t>18189722</t>
  </si>
  <si>
    <t>CHIRAG M K</t>
  </si>
  <si>
    <t>18189747</t>
  </si>
  <si>
    <t>PUNITH GOWDA B S</t>
  </si>
  <si>
    <t>18189721</t>
  </si>
  <si>
    <t>CHETHAN GOWDA M</t>
  </si>
  <si>
    <t>18189708</t>
  </si>
  <si>
    <t>ADVAITH JAIN</t>
  </si>
  <si>
    <t>18189720</t>
  </si>
  <si>
    <t>CHAYANK C</t>
  </si>
  <si>
    <t>18189762</t>
  </si>
  <si>
    <t>TANMAY PRABHU</t>
  </si>
  <si>
    <t>18189731</t>
  </si>
  <si>
    <t>JEEVAN B V</t>
  </si>
  <si>
    <t>18189743</t>
  </si>
  <si>
    <t>NISCHAL S</t>
  </si>
  <si>
    <t>18189772</t>
  </si>
  <si>
    <t>YUKTHI SHIVANAND SHETTY</t>
  </si>
  <si>
    <t>18189774</t>
  </si>
  <si>
    <t>K VIGNESH N KAMATH</t>
  </si>
  <si>
    <t>18189764</t>
  </si>
  <si>
    <t>TANVI SUBHASH HANNIKERI</t>
  </si>
  <si>
    <t>18189736</t>
  </si>
  <si>
    <t>MANJUSHREE V G</t>
  </si>
  <si>
    <t>18189765</t>
  </si>
  <si>
    <t>TEJAS</t>
  </si>
  <si>
    <t>18189709</t>
  </si>
  <si>
    <t>AGNISH G SHETTY</t>
  </si>
  <si>
    <t>18189734</t>
  </si>
  <si>
    <t>MADHURA S R</t>
  </si>
  <si>
    <t>18189760</t>
  </si>
  <si>
    <t>STELIOS DARWIN TAURO</t>
  </si>
  <si>
    <t>18189715</t>
  </si>
  <si>
    <t>ASHLEY MANOJ</t>
  </si>
  <si>
    <t>18189752</t>
  </si>
  <si>
    <t>SAHANA SANGAPPA KATARAKI</t>
  </si>
  <si>
    <t>18189707</t>
  </si>
  <si>
    <t>ADVAITH A SALIAN</t>
  </si>
  <si>
    <t>18189728</t>
  </si>
  <si>
    <t>HEMANTH B N</t>
  </si>
  <si>
    <t>18189737</t>
  </si>
  <si>
    <t>MITHUN R</t>
  </si>
  <si>
    <t>18189705</t>
  </si>
  <si>
    <t>ADITI NAYAK</t>
  </si>
  <si>
    <t>18189758</t>
  </si>
  <si>
    <t>SHREYAS S H</t>
  </si>
  <si>
    <t>18189746</t>
  </si>
  <si>
    <t>PREETHAM R GOWDA</t>
  </si>
  <si>
    <t>18189740</t>
  </si>
  <si>
    <t>NAMAN G V</t>
  </si>
  <si>
    <t>18189704</t>
  </si>
  <si>
    <t>ADITHYA A SHETTY</t>
  </si>
  <si>
    <t>18189716</t>
  </si>
  <si>
    <t>ASHWIJ</t>
  </si>
  <si>
    <t>18189757</t>
  </si>
  <si>
    <t>SHREYANK S</t>
  </si>
  <si>
    <t>18189723</t>
  </si>
  <si>
    <t>CHIRAG R</t>
  </si>
  <si>
    <t>18189763</t>
  </si>
  <si>
    <t>TANUSHREE MABRUKAR</t>
  </si>
  <si>
    <t>18189719</t>
  </si>
  <si>
    <t>CHANDU REDDY K R</t>
  </si>
  <si>
    <t>18189726</t>
  </si>
  <si>
    <t>DARSHAN B N</t>
  </si>
  <si>
    <t>18189767</t>
  </si>
  <si>
    <t>VACHAN T S</t>
  </si>
  <si>
    <t>18189742</t>
  </si>
  <si>
    <t>NIKHIL V M</t>
  </si>
  <si>
    <t>18189775</t>
  </si>
  <si>
    <t>SAMARTH H M</t>
  </si>
  <si>
    <t>18189714</t>
  </si>
  <si>
    <t>ASHISH SAIRAM K S</t>
  </si>
  <si>
    <t>SRI BHUVANENDRA RES SCHOOL, KARKALA</t>
  </si>
  <si>
    <t xml:space="preserve">                           </t>
  </si>
  <si>
    <t xml:space="preserve"> C.B.S.E. -  SECONDARY SCHOOL EXAMINATION (MAIN)-2024- RESULT</t>
  </si>
  <si>
    <t>NAME OF CANDIDATE</t>
  </si>
  <si>
    <t>ENG</t>
  </si>
  <si>
    <t>HIN</t>
  </si>
  <si>
    <t>KAN</t>
  </si>
  <si>
    <t>MATH</t>
  </si>
  <si>
    <t>SCI</t>
  </si>
  <si>
    <t>SOC</t>
  </si>
  <si>
    <t>18181048</t>
  </si>
  <si>
    <t>ADITHI A HEGDE</t>
  </si>
  <si>
    <t>18181049</t>
  </si>
  <si>
    <t>ANISH SHETTY V</t>
  </si>
  <si>
    <t>18181050</t>
  </si>
  <si>
    <t>ANSHITH A BHANDARY</t>
  </si>
  <si>
    <t>18181051</t>
  </si>
  <si>
    <t>ANUSHA R SHETTY</t>
  </si>
  <si>
    <t>18181052</t>
  </si>
  <si>
    <t>ANUSHA SHRIMANTGOUDA PATIL</t>
  </si>
  <si>
    <t>18181053</t>
  </si>
  <si>
    <t>ASHAY JAIN</t>
  </si>
  <si>
    <t>18181054</t>
  </si>
  <si>
    <t>BASAVARAJ SHIVABASU PIROJI</t>
  </si>
  <si>
    <t>18181055</t>
  </si>
  <si>
    <t>BRINDA SUVARNA</t>
  </si>
  <si>
    <t>18181056</t>
  </si>
  <si>
    <t>CHIRANTH S B</t>
  </si>
  <si>
    <t>18181057</t>
  </si>
  <si>
    <t>CHRISTAL PRIYA MONIS</t>
  </si>
  <si>
    <t>18181058</t>
  </si>
  <si>
    <t>DHRUVANTH M</t>
  </si>
  <si>
    <t>18181059</t>
  </si>
  <si>
    <t>GAAYANA SHREE P</t>
  </si>
  <si>
    <t>18181060</t>
  </si>
  <si>
    <t>GAGAN MALLIK B</t>
  </si>
  <si>
    <t>18181061</t>
  </si>
  <si>
    <t>GEETA SHENOY</t>
  </si>
  <si>
    <t>18181062</t>
  </si>
  <si>
    <t>IAN DSOUZA</t>
  </si>
  <si>
    <t>18181063</t>
  </si>
  <si>
    <t xml:space="preserve"> BHUVAN S KAMATH</t>
  </si>
  <si>
    <t>18181064</t>
  </si>
  <si>
    <t>KARTHIK KIRAN KATTIMANI</t>
  </si>
  <si>
    <t>18181065</t>
  </si>
  <si>
    <t>KHUSHI PRAKASH SHETTY</t>
  </si>
  <si>
    <t>18181066</t>
  </si>
  <si>
    <t>KIRAN R</t>
  </si>
  <si>
    <t>18181067</t>
  </si>
  <si>
    <t>KUSHAL KUMAR B</t>
  </si>
  <si>
    <t>18181068</t>
  </si>
  <si>
    <t>LOCHAN N GOWDA</t>
  </si>
  <si>
    <t>18181069</t>
  </si>
  <si>
    <t>MANDAR B PATIL</t>
  </si>
  <si>
    <t>18181070</t>
  </si>
  <si>
    <t>MANOJ GANGAL</t>
  </si>
  <si>
    <t>18181071</t>
  </si>
  <si>
    <t>MANOJ RAVINDRA B PATIL</t>
  </si>
  <si>
    <t>18181072</t>
  </si>
  <si>
    <t>MOHAMMED AYAAN BAIG</t>
  </si>
  <si>
    <t>18181073</t>
  </si>
  <si>
    <t>MOHAMMED RAIF SALAM</t>
  </si>
  <si>
    <t>18181074</t>
  </si>
  <si>
    <t>MUHAMMED MAAIZ KHADER</t>
  </si>
  <si>
    <t>18181075</t>
  </si>
  <si>
    <t>NAIK VIGHNESH SUDHIR</t>
  </si>
  <si>
    <t>18181076</t>
  </si>
  <si>
    <t>NAMAN N</t>
  </si>
  <si>
    <t>18181077</t>
  </si>
  <si>
    <t>NIKHIL D</t>
  </si>
  <si>
    <t>18181078</t>
  </si>
  <si>
    <t>NIKHIL S UPPIN</t>
  </si>
  <si>
    <t>18181079</t>
  </si>
  <si>
    <t>NIRANJAN SHIVALINGAPPA BALIGAR</t>
  </si>
  <si>
    <t>18181080</t>
  </si>
  <si>
    <t>NUTHAN KUMAR M</t>
  </si>
  <si>
    <t>18181081</t>
  </si>
  <si>
    <t>OM MAGADUM</t>
  </si>
  <si>
    <t>18181082</t>
  </si>
  <si>
    <t>OMKAR BAHUBALI SAPTASAGAR</t>
  </si>
  <si>
    <t>18181083</t>
  </si>
  <si>
    <t>POORVI R PRABHU</t>
  </si>
  <si>
    <t>18181084</t>
  </si>
  <si>
    <t>PRAMOD LAXMAN B PATIL</t>
  </si>
  <si>
    <t>18181085</t>
  </si>
  <si>
    <t>PRANAV J POOJARY</t>
  </si>
  <si>
    <t>18181086</t>
  </si>
  <si>
    <t>PRARTHANA PAI</t>
  </si>
  <si>
    <t>18181087</t>
  </si>
  <si>
    <t>PRASHANTH S</t>
  </si>
  <si>
    <t>18181088</t>
  </si>
  <si>
    <t>PRATEET RAMACHANDRA KATTI</t>
  </si>
  <si>
    <t>18181089</t>
  </si>
  <si>
    <t>PREETAM MALLIKARJUN KALAPPAGOL</t>
  </si>
  <si>
    <t>18181090</t>
  </si>
  <si>
    <t>PREETHAM RAO</t>
  </si>
  <si>
    <t>18181091</t>
  </si>
  <si>
    <t>R YASHASH</t>
  </si>
  <si>
    <t>18181092</t>
  </si>
  <si>
    <t>RADHIKA NARAHARI RAO</t>
  </si>
  <si>
    <t>18181093</t>
  </si>
  <si>
    <t>RAHUL N K</t>
  </si>
  <si>
    <t>18181094</t>
  </si>
  <si>
    <t>REON TAURO</t>
  </si>
  <si>
    <t>18181095</t>
  </si>
  <si>
    <t>RIFA SADIYA</t>
  </si>
  <si>
    <t>18181096</t>
  </si>
  <si>
    <t>RISHITH RAJ</t>
  </si>
  <si>
    <t>18181097</t>
  </si>
  <si>
    <t>RITHVIK PATEL C K</t>
  </si>
  <si>
    <t>18181098</t>
  </si>
  <si>
    <t>ROYDEN LAWRENCE DSOUZA</t>
  </si>
  <si>
    <t>18181099</t>
  </si>
  <si>
    <t>RUTHU M SHETTY</t>
  </si>
  <si>
    <t>18181100</t>
  </si>
  <si>
    <t>S R SAMPADA</t>
  </si>
  <si>
    <t>18181101</t>
  </si>
  <si>
    <t>SAMARTH S VASHISTA</t>
  </si>
  <si>
    <t>18181102</t>
  </si>
  <si>
    <t>SAMARTHA K L</t>
  </si>
  <si>
    <t>18181103</t>
  </si>
  <si>
    <t>SANVI S ACHARYA</t>
  </si>
  <si>
    <t>18181104</t>
  </si>
  <si>
    <t>SEANNA MARISA STANY DSOUZA</t>
  </si>
  <si>
    <t>18181105</t>
  </si>
  <si>
    <t>SHASHANK RAJ H R</t>
  </si>
  <si>
    <t>18181106</t>
  </si>
  <si>
    <t>SHASHANK T P</t>
  </si>
  <si>
    <t>18181107</t>
  </si>
  <si>
    <t>SHEIK MOHAMMED RIZAN</t>
  </si>
  <si>
    <t>18181108</t>
  </si>
  <si>
    <t>SHREYAS SHENOY</t>
  </si>
  <si>
    <t>18181109</t>
  </si>
  <si>
    <t>SHRICHANDAN S PRABHU</t>
  </si>
  <si>
    <t>18181110</t>
  </si>
  <si>
    <t>SHRINIVASARADDI S HULAGERI</t>
  </si>
  <si>
    <t>18181111</t>
  </si>
  <si>
    <t>SKANDA SUDARSHAN</t>
  </si>
  <si>
    <t>18181112</t>
  </si>
  <si>
    <t>SWAROOP ACHARYA</t>
  </si>
  <si>
    <t>18181113</t>
  </si>
  <si>
    <t>TANVI HEGDE</t>
  </si>
  <si>
    <t>18181114</t>
  </si>
  <si>
    <t>TANVI VIJAY ULLEGADDI</t>
  </si>
  <si>
    <t>18181115</t>
  </si>
  <si>
    <t>TARUN AGASTHYA P L</t>
  </si>
  <si>
    <t>18181116</t>
  </si>
  <si>
    <t>TEJAS GOWDA K N</t>
  </si>
  <si>
    <t>18181117</t>
  </si>
  <si>
    <t>THEJAS GOWDA G P</t>
  </si>
  <si>
    <t>18181118</t>
  </si>
  <si>
    <t>TILAK KUMAR PATEL K S</t>
  </si>
  <si>
    <t>18181119</t>
  </si>
  <si>
    <t>VASAVI PAI</t>
  </si>
  <si>
    <t>18181120</t>
  </si>
  <si>
    <t>VIDHA JAIN</t>
  </si>
  <si>
    <t>18181121</t>
  </si>
  <si>
    <t>YAMUNA  I JANGAMASHETTI</t>
  </si>
  <si>
    <t xml:space="preserve"> C.B.S.E. - ALL INDIA SECONDARY SCHOOL EXAMINATION (MAIN)-2023- RESULT</t>
  </si>
  <si>
    <t xml:space="preserve">RIONA DSOUZA                                                  </t>
  </si>
  <si>
    <t xml:space="preserve">ATIT B SHETTY                                      </t>
  </si>
  <si>
    <t xml:space="preserve">MONISHA M                                      </t>
  </si>
  <si>
    <t xml:space="preserve">VISHAL SADASHIV MURAGOD                           </t>
  </si>
  <si>
    <t xml:space="preserve">ANVITH ASHOKA MOILY                               </t>
  </si>
  <si>
    <t xml:space="preserve">CHINMAYEE UDAYAKUMAR DANGE  </t>
  </si>
  <si>
    <t xml:space="preserve">ANVITA M K                                                   </t>
  </si>
  <si>
    <t xml:space="preserve">SKANDA SHETTY                                </t>
  </si>
  <si>
    <t xml:space="preserve">YASHAS M                                             </t>
  </si>
  <si>
    <t xml:space="preserve">CHINMAY YOGESH PRABHU         </t>
  </si>
  <si>
    <t xml:space="preserve">PRAJWAL BABU NANDAGAON                           </t>
  </si>
  <si>
    <t xml:space="preserve">DHANUSH GOWDA                                   </t>
  </si>
  <si>
    <t xml:space="preserve">ANANYA SHETTY  </t>
  </si>
  <si>
    <t xml:space="preserve">AMOGH MANOJ SHETTY                                  </t>
  </si>
  <si>
    <t xml:space="preserve">GAURAV                       </t>
  </si>
  <si>
    <t xml:space="preserve">HAILEY PEREIRA                         </t>
  </si>
  <si>
    <t xml:space="preserve">RISHITH M SHETTY                                   </t>
  </si>
  <si>
    <t xml:space="preserve">NIKHILKUMAR SHIVAPPA BIRADAR PATIL </t>
  </si>
  <si>
    <t xml:space="preserve">JNANESH K R                                        </t>
  </si>
  <si>
    <t xml:space="preserve">NIDHI S UPPIN                                      </t>
  </si>
  <si>
    <t xml:space="preserve">LAXMIKANTH GOPAL BELAKUD    </t>
  </si>
  <si>
    <t xml:space="preserve">KAIVALYA NAYAK                                  </t>
  </si>
  <si>
    <t xml:space="preserve">ADLIN THOMAS DCUNHA      </t>
  </si>
  <si>
    <t xml:space="preserve">NIKITHA RAJU                                    </t>
  </si>
  <si>
    <t xml:space="preserve">SANJANA T                                       </t>
  </si>
  <si>
    <t xml:space="preserve">MOHAMMAD BIN MUHAMMED QUASIM  </t>
  </si>
  <si>
    <t xml:space="preserve">VINUTA                                            </t>
  </si>
  <si>
    <t xml:space="preserve">SAPALIGA SWATHI THIMMAPPA    </t>
  </si>
  <si>
    <t xml:space="preserve">SHOURYA G SHETTY                                   </t>
  </si>
  <si>
    <t xml:space="preserve">IYAN PAUL                                       </t>
  </si>
  <si>
    <t xml:space="preserve">SAMEEHA SEEMAB JAFFERI                           </t>
  </si>
  <si>
    <t xml:space="preserve">AKASH SIDRAMA BETAGERI                             </t>
  </si>
  <si>
    <t xml:space="preserve">P RAKSHITH PAI                                   </t>
  </si>
  <si>
    <t xml:space="preserve">MITHUN M GOWDA                                   </t>
  </si>
  <si>
    <t xml:space="preserve">SATWIK S ACHAR        </t>
  </si>
  <si>
    <t xml:space="preserve">POORVITH GOWDA H M                               </t>
  </si>
  <si>
    <t xml:space="preserve">DHRUVA S PATIL                                     </t>
  </si>
  <si>
    <t xml:space="preserve">KARTHIK VASANT RAO                    </t>
  </si>
  <si>
    <t xml:space="preserve">MELISHA SHAINY FERNANDES                           </t>
  </si>
  <si>
    <t xml:space="preserve">SHARANYA H ANCHAN  </t>
  </si>
  <si>
    <t xml:space="preserve">ADITHYA ACHARYA   </t>
  </si>
  <si>
    <t xml:space="preserve">PAVAN KUMAR C R                                   </t>
  </si>
  <si>
    <t xml:space="preserve">SUDARSHAN N                                                         </t>
  </si>
  <si>
    <t xml:space="preserve">PREM B NARATTI                                                </t>
  </si>
  <si>
    <t xml:space="preserve">POORVIKA S                                                    </t>
  </si>
  <si>
    <t xml:space="preserve">PRAJWITH KOTIAN                                    </t>
  </si>
  <si>
    <t xml:space="preserve">SANJAY GOWDA D L                                   </t>
  </si>
  <si>
    <t xml:space="preserve">PADMINI P PATIL                                    </t>
  </si>
  <si>
    <t xml:space="preserve">SHETTY SHREYAS SATHISH      </t>
  </si>
  <si>
    <t xml:space="preserve">TEJAS PATEL K                                                    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</si>
</sst>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49" fontId="3" fillId="2" borderId="1" xfId="1" applyNumberFormat="1" applyFont="1" applyFill="1" applyBorder="1" applyAlignment="1">
      <alignment horizontal="center"/>
    </xf>
    <xf numFmtId="0" fontId="4" fillId="0" borderId="1" xfId="0" applyFont="1" applyFill="1" applyBorder="1"/>
    <xf numFmtId="0" fontId="4" fillId="0" borderId="0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Fill="1"/>
    <xf numFmtId="0" fontId="5" fillId="0" borderId="0" xfId="0" applyFont="1"/>
    <xf numFmtId="0" fontId="0" fillId="0" borderId="5" xfId="0" applyBorder="1" applyAlignment="1">
      <alignment horizontal="center" wrapText="1"/>
    </xf>
    <xf numFmtId="0" fontId="0" fillId="0" borderId="0" xfId="0" applyBorder="1"/>
    <xf numFmtId="0" fontId="0" fillId="0" borderId="0" xfId="0" applyFill="1"/>
    <xf numFmtId="0" fontId="0" fillId="0" borderId="6" xfId="0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0" fillId="0" borderId="1" xfId="0" applyBorder="1"/>
    <xf numFmtId="0" fontId="1" fillId="0" borderId="4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7" fillId="0" borderId="1" xfId="0" applyFont="1" applyFill="1" applyBorder="1"/>
    <xf numFmtId="0" fontId="0" fillId="0" borderId="1" xfId="0" applyFill="1" applyBorder="1"/>
    <xf numFmtId="0" fontId="0" fillId="3" borderId="0" xfId="0" applyFill="1"/>
    <xf numFmtId="0" fontId="5" fillId="0" borderId="8" xfId="0" applyFont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8" fillId="0" borderId="9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workbookViewId="0">
      <selection activeCell="P16" sqref="P16"/>
    </sheetView>
  </sheetViews>
  <sheetFormatPr defaultRowHeight="15"/>
  <cols>
    <col min="1" max="1" width="10.28515625" style="4" customWidth="1"/>
    <col min="2" max="2" width="30.42578125" style="4" customWidth="1"/>
    <col min="3" max="3" width="6.85546875" style="4" customWidth="1"/>
    <col min="4" max="4" width="6.140625" style="4" customWidth="1"/>
    <col min="5" max="9" width="6.85546875" style="4" customWidth="1"/>
    <col min="10" max="10" width="4" style="4" customWidth="1"/>
    <col min="11" max="16384" width="9.140625" style="4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>
      <c r="A2" s="5" t="s">
        <v>9</v>
      </c>
      <c r="B2" s="5" t="s">
        <v>10</v>
      </c>
      <c r="C2" s="5">
        <v>98</v>
      </c>
      <c r="D2" s="5">
        <v>96</v>
      </c>
      <c r="E2" s="5"/>
      <c r="F2" s="5">
        <v>93</v>
      </c>
      <c r="G2" s="5">
        <v>98</v>
      </c>
      <c r="H2" s="5">
        <v>96</v>
      </c>
      <c r="I2" s="5">
        <f t="shared" ref="I2:I65" si="0">SUM(C2:H2)</f>
        <v>481</v>
      </c>
      <c r="J2" s="6"/>
    </row>
    <row r="3" spans="1:10">
      <c r="A3" s="5" t="s">
        <v>11</v>
      </c>
      <c r="B3" s="5" t="s">
        <v>12</v>
      </c>
      <c r="C3" s="5">
        <v>91</v>
      </c>
      <c r="D3" s="5"/>
      <c r="E3" s="5">
        <v>97</v>
      </c>
      <c r="F3" s="5">
        <v>90</v>
      </c>
      <c r="G3" s="5">
        <v>95</v>
      </c>
      <c r="H3" s="5">
        <v>94</v>
      </c>
      <c r="I3" s="5">
        <f t="shared" si="0"/>
        <v>467</v>
      </c>
      <c r="J3" s="6"/>
    </row>
    <row r="4" spans="1:10">
      <c r="A4" s="5" t="s">
        <v>13</v>
      </c>
      <c r="B4" s="5" t="s">
        <v>14</v>
      </c>
      <c r="C4" s="5">
        <v>93</v>
      </c>
      <c r="D4" s="5"/>
      <c r="E4" s="5">
        <v>96</v>
      </c>
      <c r="F4" s="5">
        <v>85</v>
      </c>
      <c r="G4" s="5">
        <v>95</v>
      </c>
      <c r="H4" s="5">
        <v>97</v>
      </c>
      <c r="I4" s="5">
        <f t="shared" si="0"/>
        <v>466</v>
      </c>
      <c r="J4" s="6"/>
    </row>
    <row r="5" spans="1:10">
      <c r="A5" s="5" t="s">
        <v>15</v>
      </c>
      <c r="B5" s="5" t="s">
        <v>16</v>
      </c>
      <c r="C5" s="5">
        <v>84</v>
      </c>
      <c r="D5" s="5"/>
      <c r="E5" s="5">
        <v>94</v>
      </c>
      <c r="F5" s="5">
        <v>95</v>
      </c>
      <c r="G5" s="5">
        <v>92</v>
      </c>
      <c r="H5" s="5">
        <v>96</v>
      </c>
      <c r="I5" s="5">
        <f t="shared" si="0"/>
        <v>461</v>
      </c>
      <c r="J5" s="6"/>
    </row>
    <row r="6" spans="1:10">
      <c r="A6" s="5" t="s">
        <v>17</v>
      </c>
      <c r="B6" s="5" t="s">
        <v>18</v>
      </c>
      <c r="C6" s="5">
        <v>90</v>
      </c>
      <c r="D6" s="5">
        <v>93</v>
      </c>
      <c r="E6" s="5"/>
      <c r="F6" s="5">
        <v>92</v>
      </c>
      <c r="G6" s="5">
        <v>95</v>
      </c>
      <c r="H6" s="5">
        <v>91</v>
      </c>
      <c r="I6" s="5">
        <f t="shared" si="0"/>
        <v>461</v>
      </c>
      <c r="J6" s="6"/>
    </row>
    <row r="7" spans="1:10">
      <c r="A7" s="5" t="s">
        <v>19</v>
      </c>
      <c r="B7" s="5" t="s">
        <v>20</v>
      </c>
      <c r="C7" s="5">
        <v>92</v>
      </c>
      <c r="D7" s="5"/>
      <c r="E7" s="5">
        <v>93</v>
      </c>
      <c r="F7" s="5">
        <v>85</v>
      </c>
      <c r="G7" s="5">
        <v>94</v>
      </c>
      <c r="H7" s="5">
        <v>95</v>
      </c>
      <c r="I7" s="5">
        <f t="shared" si="0"/>
        <v>459</v>
      </c>
      <c r="J7" s="6"/>
    </row>
    <row r="8" spans="1:10">
      <c r="A8" s="5" t="s">
        <v>21</v>
      </c>
      <c r="B8" s="5" t="s">
        <v>22</v>
      </c>
      <c r="C8" s="5">
        <v>92</v>
      </c>
      <c r="D8" s="5"/>
      <c r="E8" s="5">
        <v>94</v>
      </c>
      <c r="F8" s="5">
        <v>94</v>
      </c>
      <c r="G8" s="5">
        <v>85</v>
      </c>
      <c r="H8" s="5">
        <v>94</v>
      </c>
      <c r="I8" s="5">
        <f t="shared" si="0"/>
        <v>459</v>
      </c>
      <c r="J8" s="6"/>
    </row>
    <row r="9" spans="1:10">
      <c r="A9" s="5" t="s">
        <v>23</v>
      </c>
      <c r="B9" s="5" t="s">
        <v>24</v>
      </c>
      <c r="C9" s="5">
        <v>86</v>
      </c>
      <c r="D9" s="5"/>
      <c r="E9" s="5">
        <v>93</v>
      </c>
      <c r="F9" s="5">
        <v>89</v>
      </c>
      <c r="G9" s="5">
        <v>93</v>
      </c>
      <c r="H9" s="5">
        <v>96</v>
      </c>
      <c r="I9" s="5">
        <f t="shared" si="0"/>
        <v>457</v>
      </c>
      <c r="J9" s="6"/>
    </row>
    <row r="10" spans="1:10">
      <c r="A10" s="5" t="s">
        <v>25</v>
      </c>
      <c r="B10" s="5" t="s">
        <v>26</v>
      </c>
      <c r="C10" s="5">
        <v>91</v>
      </c>
      <c r="D10" s="5">
        <v>87</v>
      </c>
      <c r="E10" s="5"/>
      <c r="F10" s="5">
        <v>89</v>
      </c>
      <c r="G10" s="5">
        <v>91</v>
      </c>
      <c r="H10" s="5">
        <v>96</v>
      </c>
      <c r="I10" s="5">
        <f t="shared" si="0"/>
        <v>454</v>
      </c>
      <c r="J10" s="6"/>
    </row>
    <row r="11" spans="1:10">
      <c r="A11" s="5" t="s">
        <v>27</v>
      </c>
      <c r="B11" s="5" t="s">
        <v>28</v>
      </c>
      <c r="C11" s="5">
        <v>89</v>
      </c>
      <c r="D11" s="5"/>
      <c r="E11" s="5">
        <v>97</v>
      </c>
      <c r="F11" s="5">
        <v>74</v>
      </c>
      <c r="G11" s="5">
        <v>91</v>
      </c>
      <c r="H11" s="5">
        <v>96</v>
      </c>
      <c r="I11" s="5">
        <f t="shared" si="0"/>
        <v>447</v>
      </c>
      <c r="J11" s="6"/>
    </row>
    <row r="12" spans="1:10">
      <c r="A12" s="5" t="s">
        <v>29</v>
      </c>
      <c r="B12" s="5" t="s">
        <v>30</v>
      </c>
      <c r="C12" s="5">
        <v>84</v>
      </c>
      <c r="D12" s="5"/>
      <c r="E12" s="5">
        <v>90</v>
      </c>
      <c r="F12" s="5">
        <v>85</v>
      </c>
      <c r="G12" s="5">
        <v>88</v>
      </c>
      <c r="H12" s="5">
        <v>96</v>
      </c>
      <c r="I12" s="5">
        <f t="shared" si="0"/>
        <v>443</v>
      </c>
      <c r="J12" s="6"/>
    </row>
    <row r="13" spans="1:10">
      <c r="A13" s="5" t="s">
        <v>31</v>
      </c>
      <c r="B13" s="5" t="s">
        <v>32</v>
      </c>
      <c r="C13" s="5">
        <v>90</v>
      </c>
      <c r="D13" s="5"/>
      <c r="E13" s="5">
        <v>96</v>
      </c>
      <c r="F13" s="5">
        <v>71</v>
      </c>
      <c r="G13" s="5">
        <v>86</v>
      </c>
      <c r="H13" s="5">
        <v>94</v>
      </c>
      <c r="I13" s="5">
        <f t="shared" si="0"/>
        <v>437</v>
      </c>
      <c r="J13" s="6"/>
    </row>
    <row r="14" spans="1:10">
      <c r="A14" s="5" t="s">
        <v>33</v>
      </c>
      <c r="B14" s="5" t="s">
        <v>34</v>
      </c>
      <c r="C14" s="5">
        <v>92</v>
      </c>
      <c r="D14" s="5">
        <v>85</v>
      </c>
      <c r="E14" s="5"/>
      <c r="F14" s="5">
        <v>76</v>
      </c>
      <c r="G14" s="5">
        <v>89</v>
      </c>
      <c r="H14" s="5">
        <v>94</v>
      </c>
      <c r="I14" s="5">
        <f t="shared" si="0"/>
        <v>436</v>
      </c>
      <c r="J14" s="6"/>
    </row>
    <row r="15" spans="1:10">
      <c r="A15" s="5" t="s">
        <v>35</v>
      </c>
      <c r="B15" s="5" t="s">
        <v>36</v>
      </c>
      <c r="C15" s="5">
        <v>78</v>
      </c>
      <c r="D15" s="5"/>
      <c r="E15" s="5">
        <v>88</v>
      </c>
      <c r="F15" s="5">
        <v>90</v>
      </c>
      <c r="G15" s="5">
        <v>88</v>
      </c>
      <c r="H15" s="5">
        <v>88</v>
      </c>
      <c r="I15" s="5">
        <f t="shared" si="0"/>
        <v>432</v>
      </c>
      <c r="J15" s="6"/>
    </row>
    <row r="16" spans="1:10">
      <c r="A16" s="5" t="s">
        <v>37</v>
      </c>
      <c r="B16" s="5" t="s">
        <v>38</v>
      </c>
      <c r="C16" s="5">
        <v>76</v>
      </c>
      <c r="D16" s="5">
        <v>80</v>
      </c>
      <c r="E16" s="5"/>
      <c r="F16" s="5">
        <v>90</v>
      </c>
      <c r="G16" s="5">
        <v>86</v>
      </c>
      <c r="H16" s="5">
        <v>89</v>
      </c>
      <c r="I16" s="5">
        <f t="shared" si="0"/>
        <v>421</v>
      </c>
      <c r="J16" s="6"/>
    </row>
    <row r="17" spans="1:10">
      <c r="A17" s="5" t="s">
        <v>39</v>
      </c>
      <c r="B17" s="5" t="s">
        <v>40</v>
      </c>
      <c r="C17" s="5">
        <v>79</v>
      </c>
      <c r="D17" s="5"/>
      <c r="E17" s="5">
        <v>80</v>
      </c>
      <c r="F17" s="5">
        <v>73</v>
      </c>
      <c r="G17" s="5">
        <v>86</v>
      </c>
      <c r="H17" s="5">
        <v>96</v>
      </c>
      <c r="I17" s="5">
        <f t="shared" si="0"/>
        <v>414</v>
      </c>
      <c r="J17" s="6"/>
    </row>
    <row r="18" spans="1:10">
      <c r="A18" s="5" t="s">
        <v>41</v>
      </c>
      <c r="B18" s="5" t="s">
        <v>42</v>
      </c>
      <c r="C18" s="5">
        <v>95</v>
      </c>
      <c r="D18" s="5">
        <v>80</v>
      </c>
      <c r="E18" s="5"/>
      <c r="F18" s="5">
        <v>68</v>
      </c>
      <c r="G18" s="5">
        <v>81</v>
      </c>
      <c r="H18" s="5">
        <v>90</v>
      </c>
      <c r="I18" s="5">
        <f t="shared" si="0"/>
        <v>414</v>
      </c>
      <c r="J18" s="6"/>
    </row>
    <row r="19" spans="1:10">
      <c r="A19" s="5" t="s">
        <v>43</v>
      </c>
      <c r="B19" s="5" t="s">
        <v>44</v>
      </c>
      <c r="C19" s="5">
        <v>83</v>
      </c>
      <c r="D19" s="5"/>
      <c r="E19" s="5">
        <v>85</v>
      </c>
      <c r="F19" s="5">
        <v>76</v>
      </c>
      <c r="G19" s="5">
        <v>84</v>
      </c>
      <c r="H19" s="5">
        <v>84</v>
      </c>
      <c r="I19" s="5">
        <f t="shared" si="0"/>
        <v>412</v>
      </c>
      <c r="J19" s="6"/>
    </row>
    <row r="20" spans="1:10">
      <c r="A20" s="5" t="s">
        <v>45</v>
      </c>
      <c r="B20" s="5" t="s">
        <v>46</v>
      </c>
      <c r="C20" s="5">
        <v>78</v>
      </c>
      <c r="D20" s="5">
        <v>84</v>
      </c>
      <c r="E20" s="5"/>
      <c r="F20" s="5">
        <v>75</v>
      </c>
      <c r="G20" s="5">
        <v>83</v>
      </c>
      <c r="H20" s="5">
        <v>92</v>
      </c>
      <c r="I20" s="5">
        <f t="shared" si="0"/>
        <v>412</v>
      </c>
      <c r="J20" s="6"/>
    </row>
    <row r="21" spans="1:10">
      <c r="A21" s="5" t="s">
        <v>47</v>
      </c>
      <c r="B21" s="5" t="s">
        <v>48</v>
      </c>
      <c r="C21" s="5">
        <v>87</v>
      </c>
      <c r="D21" s="5"/>
      <c r="E21" s="5">
        <v>76</v>
      </c>
      <c r="F21" s="5">
        <v>74</v>
      </c>
      <c r="G21" s="5">
        <v>84</v>
      </c>
      <c r="H21" s="5">
        <v>91</v>
      </c>
      <c r="I21" s="5">
        <f t="shared" si="0"/>
        <v>412</v>
      </c>
      <c r="J21" s="6"/>
    </row>
    <row r="22" spans="1:10">
      <c r="A22" s="5" t="s">
        <v>49</v>
      </c>
      <c r="B22" s="5" t="s">
        <v>50</v>
      </c>
      <c r="C22" s="5">
        <v>81</v>
      </c>
      <c r="D22" s="5">
        <v>86</v>
      </c>
      <c r="E22" s="5"/>
      <c r="F22" s="5">
        <v>65</v>
      </c>
      <c r="G22" s="5">
        <v>84</v>
      </c>
      <c r="H22" s="5">
        <v>90</v>
      </c>
      <c r="I22" s="5">
        <f t="shared" si="0"/>
        <v>406</v>
      </c>
      <c r="J22" s="6"/>
    </row>
    <row r="23" spans="1:10">
      <c r="A23" s="5" t="s">
        <v>51</v>
      </c>
      <c r="B23" s="5" t="s">
        <v>52</v>
      </c>
      <c r="C23" s="5">
        <v>77</v>
      </c>
      <c r="D23" s="5"/>
      <c r="E23" s="5">
        <v>89</v>
      </c>
      <c r="F23" s="5">
        <v>73</v>
      </c>
      <c r="G23" s="5">
        <v>76</v>
      </c>
      <c r="H23" s="5">
        <v>81</v>
      </c>
      <c r="I23" s="5">
        <f t="shared" si="0"/>
        <v>396</v>
      </c>
      <c r="J23" s="6"/>
    </row>
    <row r="24" spans="1:10">
      <c r="A24" s="5" t="s">
        <v>53</v>
      </c>
      <c r="B24" s="5" t="s">
        <v>54</v>
      </c>
      <c r="C24" s="5">
        <v>83</v>
      </c>
      <c r="D24" s="5">
        <v>83</v>
      </c>
      <c r="E24" s="5"/>
      <c r="F24" s="5">
        <v>67</v>
      </c>
      <c r="G24" s="5">
        <v>69</v>
      </c>
      <c r="H24" s="5">
        <v>91</v>
      </c>
      <c r="I24" s="5">
        <f t="shared" si="0"/>
        <v>393</v>
      </c>
      <c r="J24" s="6"/>
    </row>
    <row r="25" spans="1:10">
      <c r="A25" s="5" t="s">
        <v>55</v>
      </c>
      <c r="B25" s="5" t="s">
        <v>56</v>
      </c>
      <c r="C25" s="5">
        <v>91</v>
      </c>
      <c r="D25" s="5">
        <v>74</v>
      </c>
      <c r="E25" s="5"/>
      <c r="F25" s="5">
        <v>56</v>
      </c>
      <c r="G25" s="5">
        <v>74</v>
      </c>
      <c r="H25" s="5">
        <v>92</v>
      </c>
      <c r="I25" s="5">
        <f t="shared" si="0"/>
        <v>387</v>
      </c>
      <c r="J25" s="6"/>
    </row>
    <row r="26" spans="1:10">
      <c r="A26" s="5" t="s">
        <v>57</v>
      </c>
      <c r="B26" s="5" t="s">
        <v>58</v>
      </c>
      <c r="C26" s="5">
        <v>72</v>
      </c>
      <c r="D26" s="5"/>
      <c r="E26" s="5">
        <v>73</v>
      </c>
      <c r="F26" s="5">
        <v>70</v>
      </c>
      <c r="G26" s="5">
        <v>82</v>
      </c>
      <c r="H26" s="5">
        <v>90</v>
      </c>
      <c r="I26" s="5">
        <f t="shared" si="0"/>
        <v>387</v>
      </c>
      <c r="J26" s="6"/>
    </row>
    <row r="27" spans="1:10">
      <c r="A27" s="5" t="s">
        <v>59</v>
      </c>
      <c r="B27" s="5" t="s">
        <v>60</v>
      </c>
      <c r="C27" s="5">
        <v>71</v>
      </c>
      <c r="D27" s="5"/>
      <c r="E27" s="5">
        <v>80</v>
      </c>
      <c r="F27" s="5">
        <v>81</v>
      </c>
      <c r="G27" s="5">
        <v>75</v>
      </c>
      <c r="H27" s="5">
        <v>79</v>
      </c>
      <c r="I27" s="5">
        <f t="shared" si="0"/>
        <v>386</v>
      </c>
      <c r="J27" s="6"/>
    </row>
    <row r="28" spans="1:10">
      <c r="A28" s="5" t="s">
        <v>61</v>
      </c>
      <c r="B28" s="5" t="s">
        <v>62</v>
      </c>
      <c r="C28" s="5">
        <v>90</v>
      </c>
      <c r="D28" s="5">
        <v>79</v>
      </c>
      <c r="E28" s="5"/>
      <c r="F28" s="5">
        <v>59</v>
      </c>
      <c r="G28" s="5">
        <v>69</v>
      </c>
      <c r="H28" s="5">
        <v>87</v>
      </c>
      <c r="I28" s="5">
        <f t="shared" si="0"/>
        <v>384</v>
      </c>
      <c r="J28" s="6"/>
    </row>
    <row r="29" spans="1:10">
      <c r="A29" s="5" t="s">
        <v>63</v>
      </c>
      <c r="B29" s="5" t="s">
        <v>64</v>
      </c>
      <c r="C29" s="5">
        <v>80</v>
      </c>
      <c r="D29" s="5"/>
      <c r="E29" s="5">
        <v>86</v>
      </c>
      <c r="F29" s="5">
        <v>61</v>
      </c>
      <c r="G29" s="5">
        <v>67</v>
      </c>
      <c r="H29" s="5">
        <v>85</v>
      </c>
      <c r="I29" s="5">
        <f t="shared" si="0"/>
        <v>379</v>
      </c>
      <c r="J29" s="6"/>
    </row>
    <row r="30" spans="1:10">
      <c r="A30" s="5" t="s">
        <v>65</v>
      </c>
      <c r="B30" s="5" t="s">
        <v>66</v>
      </c>
      <c r="C30" s="5">
        <v>70</v>
      </c>
      <c r="D30" s="5"/>
      <c r="E30" s="5">
        <v>89</v>
      </c>
      <c r="F30" s="5">
        <v>56</v>
      </c>
      <c r="G30" s="5">
        <v>74</v>
      </c>
      <c r="H30" s="5">
        <v>89</v>
      </c>
      <c r="I30" s="5">
        <f t="shared" si="0"/>
        <v>378</v>
      </c>
      <c r="J30" s="6"/>
    </row>
    <row r="31" spans="1:10">
      <c r="A31" s="5" t="s">
        <v>67</v>
      </c>
      <c r="B31" s="5" t="s">
        <v>68</v>
      </c>
      <c r="C31" s="5">
        <v>75</v>
      </c>
      <c r="D31" s="5">
        <v>70</v>
      </c>
      <c r="E31" s="5"/>
      <c r="F31" s="5">
        <v>65</v>
      </c>
      <c r="G31" s="5">
        <v>73</v>
      </c>
      <c r="H31" s="5">
        <v>93</v>
      </c>
      <c r="I31" s="5">
        <f t="shared" si="0"/>
        <v>376</v>
      </c>
      <c r="J31" s="6"/>
    </row>
    <row r="32" spans="1:10">
      <c r="A32" s="5" t="s">
        <v>69</v>
      </c>
      <c r="B32" s="5" t="s">
        <v>70</v>
      </c>
      <c r="C32" s="5">
        <v>74</v>
      </c>
      <c r="D32" s="5"/>
      <c r="E32" s="5">
        <v>91</v>
      </c>
      <c r="F32" s="5">
        <v>58</v>
      </c>
      <c r="G32" s="5">
        <v>66</v>
      </c>
      <c r="H32" s="5">
        <v>86</v>
      </c>
      <c r="I32" s="5">
        <f t="shared" si="0"/>
        <v>375</v>
      </c>
      <c r="J32" s="6"/>
    </row>
    <row r="33" spans="1:10">
      <c r="A33" s="5" t="s">
        <v>71</v>
      </c>
      <c r="B33" s="5" t="s">
        <v>72</v>
      </c>
      <c r="C33" s="5">
        <v>57</v>
      </c>
      <c r="D33" s="5"/>
      <c r="E33" s="5">
        <v>67</v>
      </c>
      <c r="F33" s="5">
        <v>80</v>
      </c>
      <c r="G33" s="5">
        <v>83</v>
      </c>
      <c r="H33" s="5">
        <v>87</v>
      </c>
      <c r="I33" s="5">
        <f t="shared" si="0"/>
        <v>374</v>
      </c>
      <c r="J33" s="6"/>
    </row>
    <row r="34" spans="1:10">
      <c r="A34" s="5" t="s">
        <v>73</v>
      </c>
      <c r="B34" s="5" t="s">
        <v>74</v>
      </c>
      <c r="C34" s="5">
        <v>88</v>
      </c>
      <c r="D34" s="5">
        <v>75</v>
      </c>
      <c r="E34" s="5"/>
      <c r="F34" s="5">
        <v>53</v>
      </c>
      <c r="G34" s="5">
        <v>74</v>
      </c>
      <c r="H34" s="5">
        <v>84</v>
      </c>
      <c r="I34" s="5">
        <f t="shared" si="0"/>
        <v>374</v>
      </c>
      <c r="J34" s="6"/>
    </row>
    <row r="35" spans="1:10">
      <c r="A35" s="5" t="s">
        <v>75</v>
      </c>
      <c r="B35" s="5" t="s">
        <v>76</v>
      </c>
      <c r="C35" s="5">
        <v>80</v>
      </c>
      <c r="D35" s="5">
        <v>80</v>
      </c>
      <c r="E35" s="5"/>
      <c r="F35" s="5">
        <v>56</v>
      </c>
      <c r="G35" s="5">
        <v>68</v>
      </c>
      <c r="H35" s="5">
        <v>80</v>
      </c>
      <c r="I35" s="5">
        <f t="shared" si="0"/>
        <v>364</v>
      </c>
      <c r="J35" s="6"/>
    </row>
    <row r="36" spans="1:10">
      <c r="A36" s="5" t="s">
        <v>77</v>
      </c>
      <c r="B36" s="5" t="s">
        <v>78</v>
      </c>
      <c r="C36" s="5">
        <v>89</v>
      </c>
      <c r="D36" s="5">
        <v>54</v>
      </c>
      <c r="E36" s="5"/>
      <c r="F36" s="5">
        <v>66</v>
      </c>
      <c r="G36" s="5">
        <v>65</v>
      </c>
      <c r="H36" s="5">
        <v>87</v>
      </c>
      <c r="I36" s="5">
        <f t="shared" si="0"/>
        <v>361</v>
      </c>
      <c r="J36" s="6"/>
    </row>
    <row r="37" spans="1:10">
      <c r="A37" s="5" t="s">
        <v>79</v>
      </c>
      <c r="B37" s="5" t="s">
        <v>80</v>
      </c>
      <c r="C37" s="5">
        <v>78</v>
      </c>
      <c r="D37" s="5"/>
      <c r="E37" s="5">
        <v>82</v>
      </c>
      <c r="F37" s="5">
        <v>51</v>
      </c>
      <c r="G37" s="5">
        <v>63</v>
      </c>
      <c r="H37" s="5">
        <v>83</v>
      </c>
      <c r="I37" s="5">
        <f t="shared" si="0"/>
        <v>357</v>
      </c>
      <c r="J37" s="6"/>
    </row>
    <row r="38" spans="1:10">
      <c r="A38" s="5" t="s">
        <v>81</v>
      </c>
      <c r="B38" s="5" t="s">
        <v>82</v>
      </c>
      <c r="C38" s="5">
        <v>74</v>
      </c>
      <c r="D38" s="5">
        <v>69</v>
      </c>
      <c r="E38" s="5"/>
      <c r="F38" s="5">
        <v>55</v>
      </c>
      <c r="G38" s="5">
        <v>64</v>
      </c>
      <c r="H38" s="5">
        <v>88</v>
      </c>
      <c r="I38" s="5">
        <f t="shared" si="0"/>
        <v>350</v>
      </c>
      <c r="J38" s="6"/>
    </row>
    <row r="39" spans="1:10">
      <c r="A39" s="5" t="s">
        <v>83</v>
      </c>
      <c r="B39" s="5" t="s">
        <v>84</v>
      </c>
      <c r="C39" s="5">
        <v>65</v>
      </c>
      <c r="D39" s="5"/>
      <c r="E39" s="5">
        <v>85</v>
      </c>
      <c r="F39" s="5">
        <v>61</v>
      </c>
      <c r="G39" s="5">
        <v>63</v>
      </c>
      <c r="H39" s="5">
        <v>75</v>
      </c>
      <c r="I39" s="5">
        <f t="shared" si="0"/>
        <v>349</v>
      </c>
      <c r="J39" s="6"/>
    </row>
    <row r="40" spans="1:10">
      <c r="A40" s="5" t="s">
        <v>85</v>
      </c>
      <c r="B40" s="5" t="s">
        <v>86</v>
      </c>
      <c r="C40" s="5">
        <v>62</v>
      </c>
      <c r="D40" s="5"/>
      <c r="E40" s="5">
        <v>73</v>
      </c>
      <c r="F40" s="5">
        <v>71</v>
      </c>
      <c r="G40" s="5">
        <v>60</v>
      </c>
      <c r="H40" s="5">
        <v>78</v>
      </c>
      <c r="I40" s="5">
        <f t="shared" si="0"/>
        <v>344</v>
      </c>
      <c r="J40" s="6"/>
    </row>
    <row r="41" spans="1:10">
      <c r="A41" s="5" t="s">
        <v>87</v>
      </c>
      <c r="B41" s="5" t="s">
        <v>88</v>
      </c>
      <c r="C41" s="5">
        <v>69</v>
      </c>
      <c r="D41" s="5"/>
      <c r="E41" s="5">
        <v>65</v>
      </c>
      <c r="F41" s="5">
        <v>60</v>
      </c>
      <c r="G41" s="5">
        <v>52</v>
      </c>
      <c r="H41" s="5">
        <v>94</v>
      </c>
      <c r="I41" s="5">
        <f t="shared" si="0"/>
        <v>340</v>
      </c>
      <c r="J41" s="6"/>
    </row>
    <row r="42" spans="1:10">
      <c r="A42" s="5" t="s">
        <v>89</v>
      </c>
      <c r="B42" s="5" t="s">
        <v>90</v>
      </c>
      <c r="C42" s="5">
        <v>76</v>
      </c>
      <c r="D42" s="5">
        <v>63</v>
      </c>
      <c r="E42" s="5"/>
      <c r="F42" s="5">
        <v>49</v>
      </c>
      <c r="G42" s="5">
        <v>61</v>
      </c>
      <c r="H42" s="5">
        <v>87</v>
      </c>
      <c r="I42" s="5">
        <f t="shared" si="0"/>
        <v>336</v>
      </c>
      <c r="J42" s="6"/>
    </row>
    <row r="43" spans="1:10">
      <c r="A43" s="5" t="s">
        <v>91</v>
      </c>
      <c r="B43" s="5" t="s">
        <v>92</v>
      </c>
      <c r="C43" s="5">
        <v>75</v>
      </c>
      <c r="D43" s="5"/>
      <c r="E43" s="5">
        <v>69</v>
      </c>
      <c r="F43" s="5">
        <v>51</v>
      </c>
      <c r="G43" s="5">
        <v>52</v>
      </c>
      <c r="H43" s="5">
        <v>87</v>
      </c>
      <c r="I43" s="5">
        <f t="shared" si="0"/>
        <v>334</v>
      </c>
      <c r="J43" s="6"/>
    </row>
    <row r="44" spans="1:10">
      <c r="A44" s="5" t="s">
        <v>93</v>
      </c>
      <c r="B44" s="5" t="s">
        <v>94</v>
      </c>
      <c r="C44" s="5">
        <v>69</v>
      </c>
      <c r="D44" s="5">
        <v>64</v>
      </c>
      <c r="E44" s="5"/>
      <c r="F44" s="5">
        <v>51</v>
      </c>
      <c r="G44" s="5">
        <v>73</v>
      </c>
      <c r="H44" s="5">
        <v>74</v>
      </c>
      <c r="I44" s="5">
        <f t="shared" si="0"/>
        <v>331</v>
      </c>
      <c r="J44" s="6"/>
    </row>
    <row r="45" spans="1:10">
      <c r="A45" s="5" t="s">
        <v>95</v>
      </c>
      <c r="B45" s="5" t="s">
        <v>96</v>
      </c>
      <c r="C45" s="5">
        <v>68</v>
      </c>
      <c r="D45" s="5"/>
      <c r="E45" s="5">
        <v>87</v>
      </c>
      <c r="F45" s="5">
        <v>52</v>
      </c>
      <c r="G45" s="5">
        <v>49</v>
      </c>
      <c r="H45" s="5">
        <v>73</v>
      </c>
      <c r="I45" s="5">
        <f t="shared" si="0"/>
        <v>329</v>
      </c>
      <c r="J45" s="6"/>
    </row>
    <row r="46" spans="1:10">
      <c r="A46" s="5" t="s">
        <v>97</v>
      </c>
      <c r="B46" s="5" t="s">
        <v>98</v>
      </c>
      <c r="C46" s="5">
        <v>78</v>
      </c>
      <c r="D46" s="5"/>
      <c r="E46" s="5">
        <v>81</v>
      </c>
      <c r="F46" s="5">
        <v>36</v>
      </c>
      <c r="G46" s="5">
        <v>52</v>
      </c>
      <c r="H46" s="5">
        <v>81</v>
      </c>
      <c r="I46" s="5">
        <f t="shared" si="0"/>
        <v>328</v>
      </c>
      <c r="J46" s="6"/>
    </row>
    <row r="47" spans="1:10">
      <c r="A47" s="5" t="s">
        <v>99</v>
      </c>
      <c r="B47" s="5" t="s">
        <v>100</v>
      </c>
      <c r="C47" s="5">
        <v>84</v>
      </c>
      <c r="D47" s="5">
        <v>73</v>
      </c>
      <c r="E47" s="5"/>
      <c r="F47" s="5">
        <v>37</v>
      </c>
      <c r="G47" s="5">
        <v>51</v>
      </c>
      <c r="H47" s="5">
        <v>79</v>
      </c>
      <c r="I47" s="5">
        <f t="shared" si="0"/>
        <v>324</v>
      </c>
      <c r="J47" s="6"/>
    </row>
    <row r="48" spans="1:10">
      <c r="A48" s="5" t="s">
        <v>101</v>
      </c>
      <c r="B48" s="5" t="s">
        <v>102</v>
      </c>
      <c r="C48" s="5">
        <v>76</v>
      </c>
      <c r="D48" s="5"/>
      <c r="E48" s="5">
        <v>78</v>
      </c>
      <c r="F48" s="5">
        <v>43</v>
      </c>
      <c r="G48" s="5">
        <v>52</v>
      </c>
      <c r="H48" s="5">
        <v>71</v>
      </c>
      <c r="I48" s="5">
        <f t="shared" si="0"/>
        <v>320</v>
      </c>
      <c r="J48" s="6"/>
    </row>
    <row r="49" spans="1:10">
      <c r="A49" s="5" t="s">
        <v>103</v>
      </c>
      <c r="B49" s="5" t="s">
        <v>104</v>
      </c>
      <c r="C49" s="5">
        <v>81</v>
      </c>
      <c r="D49" s="5"/>
      <c r="E49" s="5">
        <v>49</v>
      </c>
      <c r="F49" s="5">
        <v>42</v>
      </c>
      <c r="G49" s="5">
        <v>61</v>
      </c>
      <c r="H49" s="5">
        <v>86</v>
      </c>
      <c r="I49" s="5">
        <f t="shared" si="0"/>
        <v>319</v>
      </c>
      <c r="J49" s="6"/>
    </row>
    <row r="50" spans="1:10">
      <c r="A50" s="5" t="s">
        <v>105</v>
      </c>
      <c r="B50" s="5" t="s">
        <v>106</v>
      </c>
      <c r="C50" s="5">
        <v>76</v>
      </c>
      <c r="D50" s="5"/>
      <c r="E50" s="5">
        <v>80</v>
      </c>
      <c r="F50" s="5">
        <v>40</v>
      </c>
      <c r="G50" s="5">
        <v>45</v>
      </c>
      <c r="H50" s="5">
        <v>76</v>
      </c>
      <c r="I50" s="5">
        <f t="shared" si="0"/>
        <v>317</v>
      </c>
      <c r="J50" s="6"/>
    </row>
    <row r="51" spans="1:10">
      <c r="A51" s="5" t="s">
        <v>107</v>
      </c>
      <c r="B51" s="5" t="s">
        <v>108</v>
      </c>
      <c r="C51" s="5">
        <v>60</v>
      </c>
      <c r="D51" s="5"/>
      <c r="E51" s="5">
        <v>89</v>
      </c>
      <c r="F51" s="5">
        <v>43</v>
      </c>
      <c r="G51" s="5">
        <v>46</v>
      </c>
      <c r="H51" s="5">
        <v>77</v>
      </c>
      <c r="I51" s="5">
        <f t="shared" si="0"/>
        <v>315</v>
      </c>
      <c r="J51" s="6"/>
    </row>
    <row r="52" spans="1:10">
      <c r="A52" s="5" t="s">
        <v>109</v>
      </c>
      <c r="B52" s="5" t="s">
        <v>110</v>
      </c>
      <c r="C52" s="5">
        <v>72</v>
      </c>
      <c r="D52" s="5">
        <v>63</v>
      </c>
      <c r="E52" s="5"/>
      <c r="F52" s="5">
        <v>48</v>
      </c>
      <c r="G52" s="5">
        <v>59</v>
      </c>
      <c r="H52" s="5">
        <v>70</v>
      </c>
      <c r="I52" s="5">
        <f t="shared" si="0"/>
        <v>312</v>
      </c>
      <c r="J52" s="6"/>
    </row>
    <row r="53" spans="1:10">
      <c r="A53" s="5" t="s">
        <v>111</v>
      </c>
      <c r="B53" s="5" t="s">
        <v>112</v>
      </c>
      <c r="C53" s="5">
        <v>69</v>
      </c>
      <c r="D53" s="5"/>
      <c r="E53" s="5">
        <v>74</v>
      </c>
      <c r="F53" s="5">
        <v>42</v>
      </c>
      <c r="G53" s="5">
        <v>53</v>
      </c>
      <c r="H53" s="5">
        <v>72</v>
      </c>
      <c r="I53" s="5">
        <f t="shared" si="0"/>
        <v>310</v>
      </c>
      <c r="J53" s="6"/>
    </row>
    <row r="54" spans="1:10">
      <c r="A54" s="5" t="s">
        <v>113</v>
      </c>
      <c r="B54" s="5" t="s">
        <v>114</v>
      </c>
      <c r="C54" s="5">
        <v>74</v>
      </c>
      <c r="D54" s="5">
        <v>55</v>
      </c>
      <c r="E54" s="5"/>
      <c r="F54" s="5">
        <v>35</v>
      </c>
      <c r="G54" s="5">
        <v>69</v>
      </c>
      <c r="H54" s="5">
        <v>73</v>
      </c>
      <c r="I54" s="5">
        <f t="shared" si="0"/>
        <v>306</v>
      </c>
      <c r="J54" s="6"/>
    </row>
    <row r="55" spans="1:10">
      <c r="A55" s="5" t="s">
        <v>115</v>
      </c>
      <c r="B55" s="5" t="s">
        <v>116</v>
      </c>
      <c r="C55" s="5">
        <v>70</v>
      </c>
      <c r="D55" s="5"/>
      <c r="E55" s="5">
        <v>53</v>
      </c>
      <c r="F55" s="5">
        <v>48</v>
      </c>
      <c r="G55" s="5">
        <v>64</v>
      </c>
      <c r="H55" s="5">
        <v>67</v>
      </c>
      <c r="I55" s="5">
        <f t="shared" si="0"/>
        <v>302</v>
      </c>
      <c r="J55" s="6"/>
    </row>
    <row r="56" spans="1:10">
      <c r="A56" s="5" t="s">
        <v>117</v>
      </c>
      <c r="B56" s="5" t="s">
        <v>118</v>
      </c>
      <c r="C56" s="5">
        <v>59</v>
      </c>
      <c r="D56" s="5"/>
      <c r="E56" s="5">
        <v>79</v>
      </c>
      <c r="F56" s="5">
        <v>35</v>
      </c>
      <c r="G56" s="5">
        <v>41</v>
      </c>
      <c r="H56" s="5">
        <v>75</v>
      </c>
      <c r="I56" s="5">
        <f t="shared" si="0"/>
        <v>289</v>
      </c>
      <c r="J56" s="6"/>
    </row>
    <row r="57" spans="1:10">
      <c r="A57" s="5" t="s">
        <v>119</v>
      </c>
      <c r="B57" s="5" t="s">
        <v>120</v>
      </c>
      <c r="C57" s="5">
        <v>75</v>
      </c>
      <c r="D57" s="5"/>
      <c r="E57" s="5">
        <v>59</v>
      </c>
      <c r="F57" s="5">
        <v>40</v>
      </c>
      <c r="G57" s="5">
        <v>48</v>
      </c>
      <c r="H57" s="5">
        <v>66</v>
      </c>
      <c r="I57" s="5">
        <f t="shared" si="0"/>
        <v>288</v>
      </c>
      <c r="J57" s="6"/>
    </row>
    <row r="58" spans="1:10">
      <c r="A58" s="5" t="s">
        <v>121</v>
      </c>
      <c r="B58" s="5" t="s">
        <v>122</v>
      </c>
      <c r="C58" s="5">
        <v>67</v>
      </c>
      <c r="D58" s="5"/>
      <c r="E58" s="5">
        <v>68</v>
      </c>
      <c r="F58" s="5">
        <v>35</v>
      </c>
      <c r="G58" s="5">
        <v>47</v>
      </c>
      <c r="H58" s="5">
        <v>71</v>
      </c>
      <c r="I58" s="5">
        <f t="shared" si="0"/>
        <v>288</v>
      </c>
      <c r="J58" s="6"/>
    </row>
    <row r="59" spans="1:10">
      <c r="A59" s="5" t="s">
        <v>123</v>
      </c>
      <c r="B59" s="5" t="s">
        <v>124</v>
      </c>
      <c r="C59" s="5">
        <v>69</v>
      </c>
      <c r="D59" s="5"/>
      <c r="E59" s="5">
        <v>61</v>
      </c>
      <c r="F59" s="5">
        <v>38</v>
      </c>
      <c r="G59" s="5">
        <v>49</v>
      </c>
      <c r="H59" s="5">
        <v>71</v>
      </c>
      <c r="I59" s="5">
        <f t="shared" si="0"/>
        <v>288</v>
      </c>
      <c r="J59" s="6"/>
    </row>
    <row r="60" spans="1:10">
      <c r="A60" s="5" t="s">
        <v>125</v>
      </c>
      <c r="B60" s="5" t="s">
        <v>126</v>
      </c>
      <c r="C60" s="5">
        <v>78</v>
      </c>
      <c r="D60" s="5">
        <v>53</v>
      </c>
      <c r="E60" s="5"/>
      <c r="F60" s="5">
        <v>44</v>
      </c>
      <c r="G60" s="5">
        <v>44</v>
      </c>
      <c r="H60" s="5">
        <v>67</v>
      </c>
      <c r="I60" s="5">
        <f t="shared" si="0"/>
        <v>286</v>
      </c>
      <c r="J60" s="6"/>
    </row>
    <row r="61" spans="1:10">
      <c r="A61" s="5" t="s">
        <v>127</v>
      </c>
      <c r="B61" s="5" t="s">
        <v>128</v>
      </c>
      <c r="C61" s="5">
        <v>59</v>
      </c>
      <c r="D61" s="5"/>
      <c r="E61" s="5">
        <v>57</v>
      </c>
      <c r="F61" s="5">
        <v>35</v>
      </c>
      <c r="G61" s="5">
        <v>51</v>
      </c>
      <c r="H61" s="5">
        <v>77</v>
      </c>
      <c r="I61" s="5">
        <f t="shared" si="0"/>
        <v>279</v>
      </c>
      <c r="J61" s="6"/>
    </row>
    <row r="62" spans="1:10">
      <c r="A62" s="5" t="s">
        <v>129</v>
      </c>
      <c r="B62" s="5" t="s">
        <v>130</v>
      </c>
      <c r="C62" s="5">
        <v>56</v>
      </c>
      <c r="D62" s="5">
        <v>59</v>
      </c>
      <c r="E62" s="5"/>
      <c r="F62" s="5">
        <v>35</v>
      </c>
      <c r="G62" s="5">
        <v>58</v>
      </c>
      <c r="H62" s="5">
        <v>68</v>
      </c>
      <c r="I62" s="5">
        <f t="shared" si="0"/>
        <v>276</v>
      </c>
      <c r="J62" s="6"/>
    </row>
    <row r="63" spans="1:10">
      <c r="A63" s="5" t="s">
        <v>131</v>
      </c>
      <c r="B63" s="5" t="s">
        <v>132</v>
      </c>
      <c r="C63" s="5">
        <v>59</v>
      </c>
      <c r="D63" s="5"/>
      <c r="E63" s="5">
        <v>56</v>
      </c>
      <c r="F63" s="5">
        <v>44</v>
      </c>
      <c r="G63" s="5">
        <v>42</v>
      </c>
      <c r="H63" s="5">
        <v>72</v>
      </c>
      <c r="I63" s="5">
        <f t="shared" si="0"/>
        <v>273</v>
      </c>
      <c r="J63" s="6"/>
    </row>
    <row r="64" spans="1:10">
      <c r="A64" s="5" t="s">
        <v>133</v>
      </c>
      <c r="B64" s="5" t="s">
        <v>134</v>
      </c>
      <c r="C64" s="5">
        <v>69</v>
      </c>
      <c r="D64" s="5">
        <v>44</v>
      </c>
      <c r="E64" s="5"/>
      <c r="F64" s="5">
        <v>39</v>
      </c>
      <c r="G64" s="5">
        <v>37</v>
      </c>
      <c r="H64" s="5">
        <v>83</v>
      </c>
      <c r="I64" s="5">
        <f t="shared" si="0"/>
        <v>272</v>
      </c>
      <c r="J64" s="6"/>
    </row>
    <row r="65" spans="1:17">
      <c r="A65" s="5" t="s">
        <v>135</v>
      </c>
      <c r="B65" s="5" t="s">
        <v>136</v>
      </c>
      <c r="C65" s="5">
        <v>69</v>
      </c>
      <c r="D65" s="5"/>
      <c r="E65" s="5">
        <v>62</v>
      </c>
      <c r="F65" s="5">
        <v>33</v>
      </c>
      <c r="G65" s="5">
        <v>44</v>
      </c>
      <c r="H65" s="5">
        <v>62</v>
      </c>
      <c r="I65" s="5">
        <f t="shared" si="0"/>
        <v>270</v>
      </c>
      <c r="J65" s="6"/>
    </row>
    <row r="66" spans="1:17">
      <c r="A66" s="5" t="s">
        <v>137</v>
      </c>
      <c r="B66" s="5" t="s">
        <v>138</v>
      </c>
      <c r="C66" s="5">
        <v>65</v>
      </c>
      <c r="D66" s="5"/>
      <c r="E66" s="5">
        <v>59</v>
      </c>
      <c r="F66" s="5">
        <v>35</v>
      </c>
      <c r="G66" s="5">
        <v>38</v>
      </c>
      <c r="H66" s="5">
        <v>70</v>
      </c>
      <c r="I66" s="5">
        <f t="shared" ref="I66:I74" si="1">SUM(C66:H66)</f>
        <v>267</v>
      </c>
      <c r="J66" s="6"/>
    </row>
    <row r="67" spans="1:17">
      <c r="A67" s="5" t="s">
        <v>139</v>
      </c>
      <c r="B67" s="5" t="s">
        <v>140</v>
      </c>
      <c r="C67" s="5">
        <v>53</v>
      </c>
      <c r="D67" s="5"/>
      <c r="E67" s="5">
        <v>68</v>
      </c>
      <c r="F67" s="5">
        <v>44</v>
      </c>
      <c r="G67" s="5">
        <v>34</v>
      </c>
      <c r="H67" s="5">
        <v>56</v>
      </c>
      <c r="I67" s="5">
        <f t="shared" si="1"/>
        <v>255</v>
      </c>
      <c r="J67" s="6"/>
      <c r="Q67" s="4">
        <f>73-24</f>
        <v>49</v>
      </c>
    </row>
    <row r="68" spans="1:17">
      <c r="A68" s="5" t="s">
        <v>141</v>
      </c>
      <c r="B68" s="5" t="s">
        <v>142</v>
      </c>
      <c r="C68" s="5">
        <v>80</v>
      </c>
      <c r="D68" s="5"/>
      <c r="E68" s="5">
        <v>56</v>
      </c>
      <c r="F68" s="5">
        <v>34</v>
      </c>
      <c r="G68" s="5">
        <v>37</v>
      </c>
      <c r="H68" s="5">
        <v>47</v>
      </c>
      <c r="I68" s="5">
        <f t="shared" si="1"/>
        <v>254</v>
      </c>
      <c r="J68" s="6"/>
    </row>
    <row r="69" spans="1:17">
      <c r="A69" s="5" t="s">
        <v>143</v>
      </c>
      <c r="B69" s="5" t="s">
        <v>144</v>
      </c>
      <c r="C69" s="5">
        <v>65</v>
      </c>
      <c r="D69" s="5"/>
      <c r="E69" s="5">
        <v>61</v>
      </c>
      <c r="F69" s="5">
        <v>39</v>
      </c>
      <c r="G69" s="5">
        <v>34</v>
      </c>
      <c r="H69" s="5">
        <v>53</v>
      </c>
      <c r="I69" s="5">
        <f t="shared" si="1"/>
        <v>252</v>
      </c>
      <c r="J69" s="6"/>
    </row>
    <row r="70" spans="1:17">
      <c r="A70" s="5" t="s">
        <v>145</v>
      </c>
      <c r="B70" s="5" t="s">
        <v>146</v>
      </c>
      <c r="C70" s="5">
        <v>61</v>
      </c>
      <c r="D70" s="5"/>
      <c r="E70" s="5">
        <v>53</v>
      </c>
      <c r="F70" s="5">
        <v>47</v>
      </c>
      <c r="G70" s="5">
        <v>37</v>
      </c>
      <c r="H70" s="5">
        <v>53</v>
      </c>
      <c r="I70" s="5">
        <f t="shared" si="1"/>
        <v>251</v>
      </c>
      <c r="J70" s="6"/>
    </row>
    <row r="71" spans="1:17">
      <c r="A71" s="5" t="s">
        <v>147</v>
      </c>
      <c r="B71" s="5" t="s">
        <v>148</v>
      </c>
      <c r="C71" s="5">
        <v>64</v>
      </c>
      <c r="D71" s="5"/>
      <c r="E71" s="5">
        <v>47</v>
      </c>
      <c r="F71" s="5">
        <v>33</v>
      </c>
      <c r="G71" s="5">
        <v>37</v>
      </c>
      <c r="H71" s="5">
        <v>47</v>
      </c>
      <c r="I71" s="5">
        <f t="shared" si="1"/>
        <v>228</v>
      </c>
      <c r="J71" s="6"/>
    </row>
    <row r="72" spans="1:17">
      <c r="A72" s="5" t="s">
        <v>149</v>
      </c>
      <c r="B72" s="5" t="s">
        <v>150</v>
      </c>
      <c r="C72" s="5">
        <v>54</v>
      </c>
      <c r="D72" s="5"/>
      <c r="E72" s="5">
        <v>50</v>
      </c>
      <c r="F72" s="5">
        <v>41</v>
      </c>
      <c r="G72" s="5">
        <v>34</v>
      </c>
      <c r="H72" s="5">
        <v>46</v>
      </c>
      <c r="I72" s="5">
        <f t="shared" si="1"/>
        <v>225</v>
      </c>
      <c r="J72" s="6"/>
    </row>
    <row r="73" spans="1:17">
      <c r="A73" s="5" t="s">
        <v>151</v>
      </c>
      <c r="B73" s="5" t="s">
        <v>152</v>
      </c>
      <c r="C73" s="5">
        <v>66</v>
      </c>
      <c r="D73" s="5"/>
      <c r="E73" s="5">
        <v>38</v>
      </c>
      <c r="F73" s="5">
        <v>34</v>
      </c>
      <c r="G73" s="5">
        <v>35</v>
      </c>
      <c r="H73" s="5">
        <v>50</v>
      </c>
      <c r="I73" s="5">
        <f t="shared" si="1"/>
        <v>223</v>
      </c>
      <c r="J73" s="6"/>
    </row>
    <row r="74" spans="1:17">
      <c r="A74" s="5" t="s">
        <v>153</v>
      </c>
      <c r="B74" s="5" t="s">
        <v>154</v>
      </c>
      <c r="C74" s="5">
        <v>48</v>
      </c>
      <c r="D74" s="5"/>
      <c r="E74" s="5">
        <v>52</v>
      </c>
      <c r="F74" s="5">
        <v>38</v>
      </c>
      <c r="G74" s="5">
        <v>33</v>
      </c>
      <c r="H74" s="5">
        <v>44</v>
      </c>
      <c r="I74" s="5">
        <f t="shared" si="1"/>
        <v>215</v>
      </c>
      <c r="J7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"/>
  <sheetViews>
    <sheetView workbookViewId="0">
      <selection activeCell="L18" sqref="L18"/>
    </sheetView>
  </sheetViews>
  <sheetFormatPr defaultRowHeight="15"/>
  <cols>
    <col min="1" max="1" width="8" customWidth="1"/>
    <col min="2" max="2" width="27.140625" customWidth="1"/>
    <col min="3" max="9" width="7.28515625" customWidth="1"/>
    <col min="10" max="10" width="9.140625" style="13"/>
  </cols>
  <sheetData>
    <row r="1" spans="1:14" s="10" customFormat="1" ht="26.25">
      <c r="A1" s="7"/>
      <c r="B1" s="8" t="s">
        <v>155</v>
      </c>
      <c r="C1" s="8"/>
      <c r="D1" s="8"/>
      <c r="E1" s="8"/>
      <c r="F1" s="8"/>
      <c r="G1" s="8"/>
      <c r="H1" s="8"/>
      <c r="I1" s="8"/>
      <c r="J1" s="9"/>
    </row>
    <row r="2" spans="1:14">
      <c r="A2" s="11"/>
      <c r="B2" s="12" t="s">
        <v>156</v>
      </c>
      <c r="C2" s="12"/>
      <c r="D2" s="12"/>
      <c r="E2" s="12"/>
      <c r="F2" s="12"/>
      <c r="G2" s="12"/>
      <c r="H2" s="12"/>
      <c r="I2" s="12"/>
    </row>
    <row r="3" spans="1:14" ht="15.75">
      <c r="A3" s="14"/>
      <c r="B3" s="15" t="s">
        <v>157</v>
      </c>
      <c r="C3" s="15"/>
      <c r="D3" s="15"/>
      <c r="E3" s="15"/>
      <c r="F3" s="15"/>
      <c r="G3" s="15"/>
      <c r="H3" s="15"/>
      <c r="I3" s="15"/>
    </row>
    <row r="4" spans="1:14">
      <c r="A4" s="16"/>
      <c r="B4" s="17" t="s">
        <v>158</v>
      </c>
      <c r="C4" s="18" t="s">
        <v>159</v>
      </c>
      <c r="D4" s="18" t="s">
        <v>160</v>
      </c>
      <c r="E4" s="19" t="s">
        <v>161</v>
      </c>
      <c r="F4" s="18" t="s">
        <v>162</v>
      </c>
      <c r="G4" s="18" t="s">
        <v>163</v>
      </c>
      <c r="H4" s="18" t="s">
        <v>164</v>
      </c>
      <c r="I4" s="18" t="s">
        <v>8</v>
      </c>
    </row>
    <row r="5" spans="1:14" s="22" customFormat="1">
      <c r="A5" s="20" t="s">
        <v>165</v>
      </c>
      <c r="B5" s="20" t="s">
        <v>166</v>
      </c>
      <c r="C5" s="21">
        <v>92</v>
      </c>
      <c r="D5" s="21"/>
      <c r="E5" s="21">
        <v>95</v>
      </c>
      <c r="F5" s="21">
        <v>78</v>
      </c>
      <c r="G5" s="21">
        <v>79</v>
      </c>
      <c r="H5" s="21">
        <v>92</v>
      </c>
      <c r="I5" s="21">
        <f t="shared" ref="I5:I78" si="0">SUM(C5:H5)</f>
        <v>436</v>
      </c>
      <c r="J5" s="13"/>
      <c r="K5" s="13"/>
      <c r="L5" s="13"/>
      <c r="M5" s="13"/>
      <c r="N5" s="13"/>
    </row>
    <row r="6" spans="1:14" s="22" customFormat="1">
      <c r="A6" s="20" t="s">
        <v>167</v>
      </c>
      <c r="B6" s="20" t="s">
        <v>168</v>
      </c>
      <c r="C6" s="21">
        <v>60</v>
      </c>
      <c r="D6" s="21">
        <v>57</v>
      </c>
      <c r="E6" s="21"/>
      <c r="F6" s="21">
        <v>38</v>
      </c>
      <c r="G6" s="21">
        <v>44</v>
      </c>
      <c r="H6" s="21">
        <v>52</v>
      </c>
      <c r="I6" s="21">
        <f t="shared" si="0"/>
        <v>251</v>
      </c>
      <c r="J6" s="13"/>
      <c r="K6" s="13"/>
      <c r="L6" s="13"/>
      <c r="M6" s="13"/>
      <c r="N6" s="13"/>
    </row>
    <row r="7" spans="1:14" s="22" customFormat="1">
      <c r="A7" s="20" t="s">
        <v>169</v>
      </c>
      <c r="B7" s="20" t="s">
        <v>170</v>
      </c>
      <c r="C7" s="21">
        <v>84</v>
      </c>
      <c r="D7" s="21">
        <v>77</v>
      </c>
      <c r="E7" s="21"/>
      <c r="F7" s="21">
        <v>61</v>
      </c>
      <c r="G7" s="21">
        <v>61</v>
      </c>
      <c r="H7" s="21">
        <v>93</v>
      </c>
      <c r="I7" s="21">
        <f t="shared" si="0"/>
        <v>376</v>
      </c>
      <c r="J7" s="13"/>
      <c r="K7" s="13"/>
      <c r="L7" s="13"/>
      <c r="M7" s="13"/>
      <c r="N7" s="13"/>
    </row>
    <row r="8" spans="1:14">
      <c r="A8" s="20" t="s">
        <v>171</v>
      </c>
      <c r="B8" s="20" t="s">
        <v>172</v>
      </c>
      <c r="C8" s="16">
        <v>88</v>
      </c>
      <c r="D8" s="16"/>
      <c r="E8" s="16">
        <v>86</v>
      </c>
      <c r="F8" s="16">
        <v>85</v>
      </c>
      <c r="G8" s="16">
        <v>86</v>
      </c>
      <c r="H8" s="16">
        <v>85</v>
      </c>
      <c r="I8" s="16">
        <f t="shared" si="0"/>
        <v>430</v>
      </c>
    </row>
    <row r="9" spans="1:14">
      <c r="A9" s="20" t="s">
        <v>173</v>
      </c>
      <c r="B9" s="20" t="s">
        <v>174</v>
      </c>
      <c r="C9" s="16">
        <v>52</v>
      </c>
      <c r="D9" s="16"/>
      <c r="E9" s="16">
        <v>65</v>
      </c>
      <c r="F9" s="16">
        <v>40</v>
      </c>
      <c r="G9" s="16">
        <v>37</v>
      </c>
      <c r="H9" s="16">
        <v>61</v>
      </c>
      <c r="I9" s="16">
        <f t="shared" si="0"/>
        <v>255</v>
      </c>
    </row>
    <row r="10" spans="1:14">
      <c r="A10" s="20" t="s">
        <v>175</v>
      </c>
      <c r="B10" s="20" t="s">
        <v>176</v>
      </c>
      <c r="C10" s="16">
        <v>92</v>
      </c>
      <c r="D10" s="16">
        <v>93</v>
      </c>
      <c r="E10" s="16"/>
      <c r="F10" s="16">
        <v>82</v>
      </c>
      <c r="G10" s="16">
        <v>94</v>
      </c>
      <c r="H10" s="16">
        <v>98</v>
      </c>
      <c r="I10" s="16">
        <f t="shared" si="0"/>
        <v>459</v>
      </c>
    </row>
    <row r="11" spans="1:14" s="22" customFormat="1">
      <c r="A11" s="20" t="s">
        <v>177</v>
      </c>
      <c r="B11" s="20" t="s">
        <v>178</v>
      </c>
      <c r="C11" s="21">
        <v>46</v>
      </c>
      <c r="D11" s="21"/>
      <c r="E11" s="21">
        <v>55</v>
      </c>
      <c r="F11" s="21">
        <v>42</v>
      </c>
      <c r="G11" s="21">
        <v>38</v>
      </c>
      <c r="H11" s="21">
        <v>51</v>
      </c>
      <c r="I11" s="21">
        <f t="shared" si="0"/>
        <v>232</v>
      </c>
      <c r="J11" s="13"/>
    </row>
    <row r="12" spans="1:14">
      <c r="A12" s="20" t="s">
        <v>179</v>
      </c>
      <c r="B12" s="20" t="s">
        <v>180</v>
      </c>
      <c r="C12" s="16">
        <v>83</v>
      </c>
      <c r="D12" s="16"/>
      <c r="E12" s="16">
        <v>87</v>
      </c>
      <c r="F12" s="16">
        <v>82</v>
      </c>
      <c r="G12" s="16">
        <v>88</v>
      </c>
      <c r="H12" s="16">
        <v>88</v>
      </c>
      <c r="I12" s="16">
        <f t="shared" si="0"/>
        <v>428</v>
      </c>
    </row>
    <row r="13" spans="1:14">
      <c r="A13" s="20" t="s">
        <v>181</v>
      </c>
      <c r="B13" s="20" t="s">
        <v>182</v>
      </c>
      <c r="C13" s="16">
        <v>73</v>
      </c>
      <c r="D13" s="16"/>
      <c r="E13" s="16">
        <v>76</v>
      </c>
      <c r="F13" s="16">
        <v>46</v>
      </c>
      <c r="G13" s="16">
        <v>48</v>
      </c>
      <c r="H13" s="16">
        <v>83</v>
      </c>
      <c r="I13" s="16">
        <f t="shared" si="0"/>
        <v>326</v>
      </c>
    </row>
    <row r="14" spans="1:14">
      <c r="A14" s="20" t="s">
        <v>183</v>
      </c>
      <c r="B14" s="20" t="s">
        <v>184</v>
      </c>
      <c r="C14" s="16">
        <v>80</v>
      </c>
      <c r="D14" s="16">
        <v>80</v>
      </c>
      <c r="E14" s="16"/>
      <c r="F14" s="16">
        <v>64</v>
      </c>
      <c r="G14" s="16">
        <v>75</v>
      </c>
      <c r="H14" s="16">
        <v>93</v>
      </c>
      <c r="I14" s="16">
        <f t="shared" si="0"/>
        <v>392</v>
      </c>
    </row>
    <row r="15" spans="1:14">
      <c r="A15" s="20" t="s">
        <v>185</v>
      </c>
      <c r="B15" s="20" t="s">
        <v>186</v>
      </c>
      <c r="C15" s="16">
        <v>75</v>
      </c>
      <c r="D15" s="16"/>
      <c r="E15" s="16">
        <v>81</v>
      </c>
      <c r="F15" s="16">
        <v>52</v>
      </c>
      <c r="G15" s="16">
        <v>57</v>
      </c>
      <c r="H15" s="16">
        <v>92</v>
      </c>
      <c r="I15" s="16">
        <f t="shared" si="0"/>
        <v>357</v>
      </c>
    </row>
    <row r="16" spans="1:14">
      <c r="A16" s="20" t="s">
        <v>187</v>
      </c>
      <c r="B16" s="20" t="s">
        <v>188</v>
      </c>
      <c r="C16" s="16">
        <v>88</v>
      </c>
      <c r="D16" s="16">
        <v>88</v>
      </c>
      <c r="E16" s="16"/>
      <c r="F16" s="16">
        <v>82</v>
      </c>
      <c r="G16" s="16">
        <v>95</v>
      </c>
      <c r="H16" s="16">
        <v>97</v>
      </c>
      <c r="I16" s="16">
        <f t="shared" si="0"/>
        <v>450</v>
      </c>
    </row>
    <row r="17" spans="1:9">
      <c r="A17" s="20" t="s">
        <v>189</v>
      </c>
      <c r="B17" s="20" t="s">
        <v>190</v>
      </c>
      <c r="C17" s="16">
        <v>86</v>
      </c>
      <c r="D17" s="16"/>
      <c r="E17" s="16">
        <v>84</v>
      </c>
      <c r="F17" s="16">
        <v>52</v>
      </c>
      <c r="G17" s="16">
        <v>57</v>
      </c>
      <c r="H17" s="16">
        <v>84</v>
      </c>
      <c r="I17" s="16">
        <f t="shared" si="0"/>
        <v>363</v>
      </c>
    </row>
    <row r="18" spans="1:9">
      <c r="A18" s="20" t="s">
        <v>191</v>
      </c>
      <c r="B18" s="20" t="s">
        <v>192</v>
      </c>
      <c r="C18" s="16">
        <v>90</v>
      </c>
      <c r="D18" s="16">
        <v>95</v>
      </c>
      <c r="E18" s="16"/>
      <c r="F18" s="16">
        <v>90</v>
      </c>
      <c r="G18" s="16">
        <v>88</v>
      </c>
      <c r="H18" s="16">
        <v>98</v>
      </c>
      <c r="I18" s="16">
        <f t="shared" si="0"/>
        <v>461</v>
      </c>
    </row>
    <row r="19" spans="1:9">
      <c r="A19" s="20" t="s">
        <v>193</v>
      </c>
      <c r="B19" s="20" t="s">
        <v>194</v>
      </c>
      <c r="C19" s="16">
        <v>74</v>
      </c>
      <c r="D19" s="16"/>
      <c r="E19" s="16">
        <v>74</v>
      </c>
      <c r="F19" s="16">
        <v>54</v>
      </c>
      <c r="G19" s="16">
        <v>67</v>
      </c>
      <c r="H19" s="16">
        <v>77</v>
      </c>
      <c r="I19" s="16">
        <f t="shared" si="0"/>
        <v>346</v>
      </c>
    </row>
    <row r="20" spans="1:9">
      <c r="A20" s="20" t="s">
        <v>195</v>
      </c>
      <c r="B20" s="20" t="s">
        <v>196</v>
      </c>
      <c r="C20" s="16">
        <v>91</v>
      </c>
      <c r="D20" s="16">
        <v>95</v>
      </c>
      <c r="E20" s="16"/>
      <c r="F20" s="16">
        <v>95</v>
      </c>
      <c r="G20" s="16">
        <v>95</v>
      </c>
      <c r="H20" s="16">
        <v>98</v>
      </c>
      <c r="I20" s="16">
        <f t="shared" si="0"/>
        <v>474</v>
      </c>
    </row>
    <row r="21" spans="1:9">
      <c r="A21" s="20" t="s">
        <v>197</v>
      </c>
      <c r="B21" s="20" t="s">
        <v>198</v>
      </c>
      <c r="C21" s="16">
        <v>78</v>
      </c>
      <c r="D21" s="16">
        <v>69</v>
      </c>
      <c r="E21" s="16"/>
      <c r="F21" s="16">
        <v>66</v>
      </c>
      <c r="G21" s="16">
        <v>73</v>
      </c>
      <c r="H21" s="16">
        <v>89</v>
      </c>
      <c r="I21" s="16">
        <f t="shared" si="0"/>
        <v>375</v>
      </c>
    </row>
    <row r="22" spans="1:9">
      <c r="A22" s="20" t="s">
        <v>199</v>
      </c>
      <c r="B22" s="20" t="s">
        <v>200</v>
      </c>
      <c r="C22" s="16">
        <v>82</v>
      </c>
      <c r="D22" s="16">
        <v>57</v>
      </c>
      <c r="E22" s="16"/>
      <c r="F22" s="16">
        <v>47</v>
      </c>
      <c r="G22" s="16">
        <v>55</v>
      </c>
      <c r="H22" s="16">
        <v>71</v>
      </c>
      <c r="I22" s="16">
        <f t="shared" si="0"/>
        <v>312</v>
      </c>
    </row>
    <row r="23" spans="1:9">
      <c r="A23" s="20" t="s">
        <v>201</v>
      </c>
      <c r="B23" s="20" t="s">
        <v>202</v>
      </c>
      <c r="C23" s="16">
        <v>73</v>
      </c>
      <c r="D23" s="16"/>
      <c r="E23" s="16">
        <v>65</v>
      </c>
      <c r="F23" s="16">
        <v>47</v>
      </c>
      <c r="G23" s="16">
        <v>45</v>
      </c>
      <c r="H23" s="16">
        <v>71</v>
      </c>
      <c r="I23" s="16">
        <f t="shared" si="0"/>
        <v>301</v>
      </c>
    </row>
    <row r="24" spans="1:9">
      <c r="A24" s="20" t="s">
        <v>203</v>
      </c>
      <c r="B24" s="20" t="s">
        <v>204</v>
      </c>
      <c r="C24" s="16">
        <v>62</v>
      </c>
      <c r="D24" s="16"/>
      <c r="E24" s="16">
        <v>58</v>
      </c>
      <c r="F24" s="16">
        <v>37</v>
      </c>
      <c r="G24" s="16">
        <v>33</v>
      </c>
      <c r="H24" s="16">
        <v>75</v>
      </c>
      <c r="I24" s="16">
        <f t="shared" si="0"/>
        <v>265</v>
      </c>
    </row>
    <row r="25" spans="1:9">
      <c r="A25" s="20" t="s">
        <v>205</v>
      </c>
      <c r="B25" s="20" t="s">
        <v>206</v>
      </c>
      <c r="C25" s="16">
        <v>79</v>
      </c>
      <c r="D25" s="16"/>
      <c r="E25" s="16">
        <v>61</v>
      </c>
      <c r="F25" s="16">
        <v>37</v>
      </c>
      <c r="G25" s="16">
        <v>41</v>
      </c>
      <c r="H25" s="16">
        <v>52</v>
      </c>
      <c r="I25" s="16">
        <f t="shared" si="0"/>
        <v>270</v>
      </c>
    </row>
    <row r="26" spans="1:9">
      <c r="A26" s="20" t="s">
        <v>207</v>
      </c>
      <c r="B26" s="20" t="s">
        <v>208</v>
      </c>
      <c r="C26" s="16">
        <v>58</v>
      </c>
      <c r="D26" s="16"/>
      <c r="E26" s="16">
        <v>56</v>
      </c>
      <c r="F26" s="16">
        <v>39</v>
      </c>
      <c r="G26" s="16">
        <v>51</v>
      </c>
      <c r="H26" s="16">
        <v>57</v>
      </c>
      <c r="I26" s="16">
        <f t="shared" si="0"/>
        <v>261</v>
      </c>
    </row>
    <row r="27" spans="1:9">
      <c r="A27" s="20" t="s">
        <v>209</v>
      </c>
      <c r="B27" s="20" t="s">
        <v>210</v>
      </c>
      <c r="C27" s="16">
        <v>58</v>
      </c>
      <c r="D27" s="16"/>
      <c r="E27" s="16">
        <v>81</v>
      </c>
      <c r="F27" s="16">
        <v>43</v>
      </c>
      <c r="G27" s="16">
        <v>43</v>
      </c>
      <c r="H27" s="16">
        <v>62</v>
      </c>
      <c r="I27" s="16">
        <f t="shared" si="0"/>
        <v>287</v>
      </c>
    </row>
    <row r="28" spans="1:9">
      <c r="A28" s="20" t="s">
        <v>211</v>
      </c>
      <c r="B28" s="20" t="s">
        <v>212</v>
      </c>
      <c r="C28" s="16">
        <v>77</v>
      </c>
      <c r="D28" s="16"/>
      <c r="E28" s="16">
        <v>97</v>
      </c>
      <c r="F28" s="16">
        <v>64</v>
      </c>
      <c r="G28" s="16">
        <v>72</v>
      </c>
      <c r="H28" s="16">
        <v>89</v>
      </c>
      <c r="I28" s="16">
        <f t="shared" si="0"/>
        <v>399</v>
      </c>
    </row>
    <row r="29" spans="1:9">
      <c r="A29" s="20" t="s">
        <v>213</v>
      </c>
      <c r="B29" s="20" t="s">
        <v>214</v>
      </c>
      <c r="C29" s="16">
        <v>90</v>
      </c>
      <c r="D29" s="16">
        <v>85</v>
      </c>
      <c r="E29" s="16"/>
      <c r="F29" s="16">
        <v>75</v>
      </c>
      <c r="G29" s="16">
        <v>90</v>
      </c>
      <c r="H29" s="16">
        <v>98</v>
      </c>
      <c r="I29" s="16">
        <f t="shared" si="0"/>
        <v>438</v>
      </c>
    </row>
    <row r="30" spans="1:9">
      <c r="A30" s="20" t="s">
        <v>215</v>
      </c>
      <c r="B30" s="20" t="s">
        <v>216</v>
      </c>
      <c r="C30" s="16">
        <v>53</v>
      </c>
      <c r="D30" s="16">
        <v>63</v>
      </c>
      <c r="E30" s="16"/>
      <c r="F30" s="16">
        <v>36</v>
      </c>
      <c r="G30" s="16">
        <v>33</v>
      </c>
      <c r="H30" s="16">
        <v>51</v>
      </c>
      <c r="I30" s="16">
        <f t="shared" si="0"/>
        <v>236</v>
      </c>
    </row>
    <row r="31" spans="1:9">
      <c r="A31" s="20" t="s">
        <v>217</v>
      </c>
      <c r="B31" s="20" t="s">
        <v>218</v>
      </c>
      <c r="C31" s="16">
        <v>81</v>
      </c>
      <c r="D31" s="16"/>
      <c r="E31" s="16">
        <v>65</v>
      </c>
      <c r="F31" s="16">
        <v>43</v>
      </c>
      <c r="G31" s="16">
        <v>41</v>
      </c>
      <c r="H31" s="16">
        <v>59</v>
      </c>
      <c r="I31" s="16">
        <f t="shared" si="0"/>
        <v>289</v>
      </c>
    </row>
    <row r="32" spans="1:9">
      <c r="A32" s="20" t="s">
        <v>219</v>
      </c>
      <c r="B32" s="20" t="s">
        <v>220</v>
      </c>
      <c r="C32" s="16">
        <v>80</v>
      </c>
      <c r="D32" s="16">
        <v>78</v>
      </c>
      <c r="E32" s="16"/>
      <c r="F32" s="16">
        <v>54</v>
      </c>
      <c r="G32" s="16">
        <v>63</v>
      </c>
      <c r="H32" s="16">
        <v>77</v>
      </c>
      <c r="I32" s="16">
        <f t="shared" si="0"/>
        <v>352</v>
      </c>
    </row>
    <row r="33" spans="1:9">
      <c r="A33" s="20" t="s">
        <v>221</v>
      </c>
      <c r="B33" s="20" t="s">
        <v>222</v>
      </c>
      <c r="C33" s="16">
        <v>69</v>
      </c>
      <c r="D33" s="16"/>
      <c r="E33" s="16">
        <v>71</v>
      </c>
      <c r="F33" s="16">
        <v>51</v>
      </c>
      <c r="G33" s="16">
        <v>52</v>
      </c>
      <c r="H33" s="16">
        <v>64</v>
      </c>
      <c r="I33" s="16">
        <f t="shared" si="0"/>
        <v>307</v>
      </c>
    </row>
    <row r="34" spans="1:9">
      <c r="A34" s="20" t="s">
        <v>223</v>
      </c>
      <c r="B34" s="20" t="s">
        <v>224</v>
      </c>
      <c r="C34" s="16">
        <v>78</v>
      </c>
      <c r="D34" s="16"/>
      <c r="E34" s="16">
        <v>89</v>
      </c>
      <c r="F34" s="16">
        <v>51</v>
      </c>
      <c r="G34" s="16">
        <v>62</v>
      </c>
      <c r="H34" s="16">
        <v>72</v>
      </c>
      <c r="I34" s="16">
        <f t="shared" si="0"/>
        <v>352</v>
      </c>
    </row>
    <row r="35" spans="1:9">
      <c r="A35" s="20" t="s">
        <v>225</v>
      </c>
      <c r="B35" s="20" t="s">
        <v>226</v>
      </c>
      <c r="C35" s="16">
        <v>72</v>
      </c>
      <c r="D35" s="16"/>
      <c r="E35" s="16">
        <v>80</v>
      </c>
      <c r="F35" s="16">
        <v>39</v>
      </c>
      <c r="G35" s="16">
        <v>36</v>
      </c>
      <c r="H35" s="16">
        <v>73</v>
      </c>
      <c r="I35" s="16">
        <f t="shared" si="0"/>
        <v>300</v>
      </c>
    </row>
    <row r="36" spans="1:9">
      <c r="A36" s="20" t="s">
        <v>227</v>
      </c>
      <c r="B36" s="20" t="s">
        <v>228</v>
      </c>
      <c r="C36" s="16">
        <v>76</v>
      </c>
      <c r="D36" s="16"/>
      <c r="E36" s="16">
        <v>98</v>
      </c>
      <c r="F36" s="16">
        <v>70</v>
      </c>
      <c r="G36" s="16">
        <v>73</v>
      </c>
      <c r="H36" s="16">
        <v>94</v>
      </c>
      <c r="I36" s="16">
        <f t="shared" si="0"/>
        <v>411</v>
      </c>
    </row>
    <row r="37" spans="1:9">
      <c r="A37" s="20" t="s">
        <v>229</v>
      </c>
      <c r="B37" s="20" t="s">
        <v>230</v>
      </c>
      <c r="C37" s="16">
        <v>81</v>
      </c>
      <c r="D37" s="16"/>
      <c r="E37" s="16">
        <v>75</v>
      </c>
      <c r="F37" s="16">
        <v>60</v>
      </c>
      <c r="G37" s="16">
        <v>69</v>
      </c>
      <c r="H37" s="16">
        <v>90</v>
      </c>
      <c r="I37" s="16">
        <f t="shared" si="0"/>
        <v>375</v>
      </c>
    </row>
    <row r="38" spans="1:9">
      <c r="A38" s="20" t="s">
        <v>231</v>
      </c>
      <c r="B38" s="20" t="s">
        <v>232</v>
      </c>
      <c r="C38" s="16">
        <v>54</v>
      </c>
      <c r="D38" s="16"/>
      <c r="E38" s="16">
        <v>61</v>
      </c>
      <c r="F38" s="16">
        <v>44</v>
      </c>
      <c r="G38" s="16">
        <v>46</v>
      </c>
      <c r="H38" s="16">
        <v>66</v>
      </c>
      <c r="I38" s="16">
        <f t="shared" si="0"/>
        <v>271</v>
      </c>
    </row>
    <row r="39" spans="1:9">
      <c r="A39" s="20" t="s">
        <v>233</v>
      </c>
      <c r="B39" s="20" t="s">
        <v>234</v>
      </c>
      <c r="C39" s="16">
        <v>80</v>
      </c>
      <c r="D39" s="16"/>
      <c r="E39" s="16">
        <v>90</v>
      </c>
      <c r="F39" s="16">
        <v>71</v>
      </c>
      <c r="G39" s="16">
        <v>69</v>
      </c>
      <c r="H39" s="16">
        <v>85</v>
      </c>
      <c r="I39" s="16">
        <f t="shared" si="0"/>
        <v>395</v>
      </c>
    </row>
    <row r="40" spans="1:9">
      <c r="A40" s="20" t="s">
        <v>235</v>
      </c>
      <c r="B40" s="20" t="s">
        <v>236</v>
      </c>
      <c r="C40" s="16">
        <v>87</v>
      </c>
      <c r="D40" s="16">
        <v>86</v>
      </c>
      <c r="E40" s="16"/>
      <c r="F40" s="16">
        <v>66</v>
      </c>
      <c r="G40" s="16">
        <v>82</v>
      </c>
      <c r="H40" s="16">
        <v>94</v>
      </c>
      <c r="I40" s="16">
        <f t="shared" si="0"/>
        <v>415</v>
      </c>
    </row>
    <row r="41" spans="1:9">
      <c r="A41" s="20" t="s">
        <v>237</v>
      </c>
      <c r="B41" s="20" t="s">
        <v>238</v>
      </c>
      <c r="C41" s="16">
        <v>67</v>
      </c>
      <c r="D41" s="16"/>
      <c r="E41" s="16">
        <v>69</v>
      </c>
      <c r="F41" s="16">
        <v>44</v>
      </c>
      <c r="G41" s="16">
        <v>39</v>
      </c>
      <c r="H41" s="16">
        <v>45</v>
      </c>
      <c r="I41" s="16">
        <f t="shared" si="0"/>
        <v>264</v>
      </c>
    </row>
    <row r="42" spans="1:9">
      <c r="A42" s="20" t="s">
        <v>239</v>
      </c>
      <c r="B42" s="20" t="s">
        <v>240</v>
      </c>
      <c r="C42" s="16">
        <v>74</v>
      </c>
      <c r="D42" s="16">
        <v>63</v>
      </c>
      <c r="E42" s="16"/>
      <c r="F42" s="16">
        <v>43</v>
      </c>
      <c r="G42" s="16">
        <v>52</v>
      </c>
      <c r="H42" s="16">
        <v>95</v>
      </c>
      <c r="I42" s="16">
        <f t="shared" si="0"/>
        <v>327</v>
      </c>
    </row>
    <row r="43" spans="1:9">
      <c r="A43" s="20" t="s">
        <v>241</v>
      </c>
      <c r="B43" s="20" t="s">
        <v>242</v>
      </c>
      <c r="C43" s="16">
        <v>92</v>
      </c>
      <c r="D43" s="16">
        <v>92</v>
      </c>
      <c r="E43" s="16"/>
      <c r="F43" s="16">
        <v>67</v>
      </c>
      <c r="G43" s="16">
        <v>91</v>
      </c>
      <c r="H43" s="16">
        <v>96</v>
      </c>
      <c r="I43" s="16">
        <f t="shared" si="0"/>
        <v>438</v>
      </c>
    </row>
    <row r="44" spans="1:9">
      <c r="A44" s="20" t="s">
        <v>243</v>
      </c>
      <c r="B44" s="20" t="s">
        <v>244</v>
      </c>
      <c r="C44" s="16">
        <v>68</v>
      </c>
      <c r="D44" s="16"/>
      <c r="E44" s="16">
        <v>84</v>
      </c>
      <c r="F44" s="16">
        <v>42</v>
      </c>
      <c r="G44" s="16">
        <v>45</v>
      </c>
      <c r="H44" s="16">
        <v>61</v>
      </c>
      <c r="I44" s="16">
        <f t="shared" si="0"/>
        <v>300</v>
      </c>
    </row>
    <row r="45" spans="1:9">
      <c r="A45" s="20" t="s">
        <v>245</v>
      </c>
      <c r="B45" s="20" t="s">
        <v>246</v>
      </c>
      <c r="C45" s="16">
        <v>66</v>
      </c>
      <c r="D45" s="16"/>
      <c r="E45" s="16">
        <v>65</v>
      </c>
      <c r="F45" s="16">
        <v>48</v>
      </c>
      <c r="G45" s="16">
        <v>36</v>
      </c>
      <c r="H45" s="16">
        <v>84</v>
      </c>
      <c r="I45" s="16">
        <f t="shared" si="0"/>
        <v>299</v>
      </c>
    </row>
    <row r="46" spans="1:9">
      <c r="A46" s="20" t="s">
        <v>247</v>
      </c>
      <c r="B46" s="20" t="s">
        <v>248</v>
      </c>
      <c r="C46" s="16">
        <v>77</v>
      </c>
      <c r="D46" s="16"/>
      <c r="E46" s="16">
        <v>90</v>
      </c>
      <c r="F46" s="16">
        <v>69</v>
      </c>
      <c r="G46" s="16">
        <v>68</v>
      </c>
      <c r="H46" s="16">
        <v>78</v>
      </c>
      <c r="I46" s="16">
        <f t="shared" si="0"/>
        <v>382</v>
      </c>
    </row>
    <row r="47" spans="1:9">
      <c r="A47" s="20" t="s">
        <v>249</v>
      </c>
      <c r="B47" s="20" t="s">
        <v>250</v>
      </c>
      <c r="C47" s="16">
        <v>73</v>
      </c>
      <c r="D47" s="16">
        <v>77</v>
      </c>
      <c r="E47" s="16"/>
      <c r="F47" s="16">
        <v>76</v>
      </c>
      <c r="G47" s="16">
        <v>89</v>
      </c>
      <c r="H47" s="16">
        <v>75</v>
      </c>
      <c r="I47" s="16">
        <f t="shared" si="0"/>
        <v>390</v>
      </c>
    </row>
    <row r="48" spans="1:9">
      <c r="A48" s="20" t="s">
        <v>251</v>
      </c>
      <c r="B48" s="20" t="s">
        <v>252</v>
      </c>
      <c r="C48" s="16">
        <v>85</v>
      </c>
      <c r="D48" s="16">
        <v>76</v>
      </c>
      <c r="E48" s="16"/>
      <c r="F48" s="16">
        <v>40</v>
      </c>
      <c r="G48" s="16">
        <v>44</v>
      </c>
      <c r="H48" s="16">
        <v>66</v>
      </c>
      <c r="I48" s="16">
        <f t="shared" si="0"/>
        <v>311</v>
      </c>
    </row>
    <row r="49" spans="1:9">
      <c r="A49" s="20" t="s">
        <v>253</v>
      </c>
      <c r="B49" s="20" t="s">
        <v>254</v>
      </c>
      <c r="C49" s="16">
        <v>80</v>
      </c>
      <c r="D49" s="16">
        <v>72</v>
      </c>
      <c r="E49" s="16"/>
      <c r="F49" s="16">
        <v>54</v>
      </c>
      <c r="G49" s="16">
        <v>78</v>
      </c>
      <c r="H49" s="16">
        <v>82</v>
      </c>
      <c r="I49" s="16">
        <f t="shared" si="0"/>
        <v>366</v>
      </c>
    </row>
    <row r="50" spans="1:9">
      <c r="A50" s="20" t="s">
        <v>255</v>
      </c>
      <c r="B50" s="20" t="s">
        <v>256</v>
      </c>
      <c r="C50" s="16">
        <v>67</v>
      </c>
      <c r="D50" s="16"/>
      <c r="E50" s="16">
        <v>54</v>
      </c>
      <c r="F50" s="16">
        <v>36</v>
      </c>
      <c r="G50" s="16">
        <v>42</v>
      </c>
      <c r="H50" s="16">
        <v>61</v>
      </c>
      <c r="I50" s="16">
        <f t="shared" si="0"/>
        <v>260</v>
      </c>
    </row>
    <row r="51" spans="1:9">
      <c r="A51" s="20" t="s">
        <v>257</v>
      </c>
      <c r="B51" s="20" t="s">
        <v>258</v>
      </c>
      <c r="C51" s="16">
        <v>88</v>
      </c>
      <c r="D51" s="16">
        <v>87</v>
      </c>
      <c r="E51" s="16"/>
      <c r="F51" s="16">
        <v>63</v>
      </c>
      <c r="G51" s="16">
        <v>63</v>
      </c>
      <c r="H51" s="16">
        <v>95</v>
      </c>
      <c r="I51" s="16">
        <f t="shared" si="0"/>
        <v>396</v>
      </c>
    </row>
    <row r="52" spans="1:9">
      <c r="A52" s="20" t="s">
        <v>259</v>
      </c>
      <c r="B52" s="20" t="s">
        <v>260</v>
      </c>
      <c r="C52" s="16">
        <v>70</v>
      </c>
      <c r="D52" s="16"/>
      <c r="E52" s="16">
        <v>67</v>
      </c>
      <c r="F52" s="16">
        <v>40</v>
      </c>
      <c r="G52" s="16">
        <v>38</v>
      </c>
      <c r="H52" s="16">
        <v>77</v>
      </c>
      <c r="I52" s="16">
        <f t="shared" si="0"/>
        <v>292</v>
      </c>
    </row>
    <row r="53" spans="1:9">
      <c r="A53" s="20" t="s">
        <v>261</v>
      </c>
      <c r="B53" s="20" t="s">
        <v>262</v>
      </c>
      <c r="C53" s="16">
        <v>89</v>
      </c>
      <c r="D53" s="16"/>
      <c r="E53" s="16">
        <v>93</v>
      </c>
      <c r="F53" s="16">
        <v>88</v>
      </c>
      <c r="G53" s="16">
        <v>91</v>
      </c>
      <c r="H53" s="16">
        <v>97</v>
      </c>
      <c r="I53" s="16">
        <f t="shared" si="0"/>
        <v>458</v>
      </c>
    </row>
    <row r="54" spans="1:9">
      <c r="A54" s="20" t="s">
        <v>263</v>
      </c>
      <c r="B54" s="20" t="s">
        <v>264</v>
      </c>
      <c r="C54" s="16">
        <v>65</v>
      </c>
      <c r="D54" s="16"/>
      <c r="E54" s="16">
        <v>79</v>
      </c>
      <c r="F54" s="16">
        <v>46</v>
      </c>
      <c r="G54" s="16">
        <v>53</v>
      </c>
      <c r="H54" s="16">
        <v>65</v>
      </c>
      <c r="I54" s="16">
        <f t="shared" si="0"/>
        <v>308</v>
      </c>
    </row>
    <row r="55" spans="1:9">
      <c r="A55" s="20" t="s">
        <v>265</v>
      </c>
      <c r="B55" s="20" t="s">
        <v>266</v>
      </c>
      <c r="C55" s="16">
        <v>84</v>
      </c>
      <c r="D55" s="16">
        <v>89</v>
      </c>
      <c r="E55" s="16"/>
      <c r="F55" s="16">
        <v>72</v>
      </c>
      <c r="G55" s="16">
        <v>81</v>
      </c>
      <c r="H55" s="16">
        <v>95</v>
      </c>
      <c r="I55" s="16">
        <f t="shared" si="0"/>
        <v>421</v>
      </c>
    </row>
    <row r="56" spans="1:9">
      <c r="A56" s="20" t="s">
        <v>267</v>
      </c>
      <c r="B56" s="20" t="s">
        <v>268</v>
      </c>
      <c r="C56" s="16">
        <v>80</v>
      </c>
      <c r="D56" s="16">
        <v>87</v>
      </c>
      <c r="E56" s="16"/>
      <c r="F56" s="16">
        <v>76</v>
      </c>
      <c r="G56" s="16">
        <v>81</v>
      </c>
      <c r="H56" s="16">
        <v>95</v>
      </c>
      <c r="I56" s="16">
        <f t="shared" si="0"/>
        <v>419</v>
      </c>
    </row>
    <row r="57" spans="1:9">
      <c r="A57" s="20" t="s">
        <v>269</v>
      </c>
      <c r="B57" s="20" t="s">
        <v>270</v>
      </c>
      <c r="C57" s="16">
        <v>86</v>
      </c>
      <c r="D57" s="16"/>
      <c r="E57" s="16">
        <v>99</v>
      </c>
      <c r="F57" s="16">
        <v>79</v>
      </c>
      <c r="G57" s="16">
        <v>80</v>
      </c>
      <c r="H57" s="16">
        <v>98</v>
      </c>
      <c r="I57" s="16">
        <f t="shared" si="0"/>
        <v>442</v>
      </c>
    </row>
    <row r="58" spans="1:9">
      <c r="A58" s="20" t="s">
        <v>271</v>
      </c>
      <c r="B58" s="20" t="s">
        <v>272</v>
      </c>
      <c r="C58" s="16">
        <v>83</v>
      </c>
      <c r="D58" s="16"/>
      <c r="E58" s="16">
        <v>67</v>
      </c>
      <c r="F58" s="16">
        <v>48</v>
      </c>
      <c r="G58" s="16">
        <v>69</v>
      </c>
      <c r="H58" s="16">
        <v>95</v>
      </c>
      <c r="I58" s="16">
        <f t="shared" si="0"/>
        <v>362</v>
      </c>
    </row>
    <row r="59" spans="1:9">
      <c r="A59" s="20" t="s">
        <v>273</v>
      </c>
      <c r="B59" s="20" t="s">
        <v>274</v>
      </c>
      <c r="C59" s="16">
        <v>83</v>
      </c>
      <c r="D59" s="16"/>
      <c r="E59" s="16">
        <v>96</v>
      </c>
      <c r="F59" s="16">
        <v>84</v>
      </c>
      <c r="G59" s="16">
        <v>92</v>
      </c>
      <c r="H59" s="16">
        <v>95</v>
      </c>
      <c r="I59" s="16">
        <f t="shared" si="0"/>
        <v>450</v>
      </c>
    </row>
    <row r="60" spans="1:9">
      <c r="A60" s="20" t="s">
        <v>275</v>
      </c>
      <c r="B60" s="20" t="s">
        <v>276</v>
      </c>
      <c r="C60" s="16">
        <v>38</v>
      </c>
      <c r="D60" s="16"/>
      <c r="E60" s="16">
        <v>46</v>
      </c>
      <c r="F60" s="16">
        <v>35</v>
      </c>
      <c r="G60" s="16">
        <v>33</v>
      </c>
      <c r="H60" s="16">
        <v>39</v>
      </c>
      <c r="I60" s="16">
        <f t="shared" si="0"/>
        <v>191</v>
      </c>
    </row>
    <row r="61" spans="1:9">
      <c r="A61" s="20" t="s">
        <v>277</v>
      </c>
      <c r="B61" s="20" t="s">
        <v>278</v>
      </c>
      <c r="C61" s="16">
        <v>79</v>
      </c>
      <c r="D61" s="16">
        <v>49</v>
      </c>
      <c r="E61" s="16"/>
      <c r="F61" s="16">
        <v>40</v>
      </c>
      <c r="G61" s="16">
        <v>55</v>
      </c>
      <c r="H61" s="16">
        <v>70</v>
      </c>
      <c r="I61" s="16">
        <f t="shared" si="0"/>
        <v>293</v>
      </c>
    </row>
    <row r="62" spans="1:9">
      <c r="A62" s="20" t="s">
        <v>279</v>
      </c>
      <c r="B62" s="20" t="s">
        <v>280</v>
      </c>
      <c r="C62" s="16">
        <v>67</v>
      </c>
      <c r="D62" s="16"/>
      <c r="E62" s="16">
        <v>82</v>
      </c>
      <c r="F62" s="16">
        <v>44</v>
      </c>
      <c r="G62" s="16">
        <v>46</v>
      </c>
      <c r="H62" s="16">
        <v>75</v>
      </c>
      <c r="I62" s="16">
        <f t="shared" si="0"/>
        <v>314</v>
      </c>
    </row>
    <row r="63" spans="1:9">
      <c r="A63" s="20" t="s">
        <v>281</v>
      </c>
      <c r="B63" s="20" t="s">
        <v>282</v>
      </c>
      <c r="C63" s="16">
        <v>72</v>
      </c>
      <c r="D63" s="16"/>
      <c r="E63" s="16">
        <v>95</v>
      </c>
      <c r="F63" s="16">
        <v>59</v>
      </c>
      <c r="G63" s="16">
        <v>58</v>
      </c>
      <c r="H63" s="16">
        <v>96</v>
      </c>
      <c r="I63" s="16">
        <f t="shared" si="0"/>
        <v>380</v>
      </c>
    </row>
    <row r="64" spans="1:9">
      <c r="A64" s="20" t="s">
        <v>283</v>
      </c>
      <c r="B64" s="20" t="s">
        <v>284</v>
      </c>
      <c r="C64" s="16">
        <v>60</v>
      </c>
      <c r="D64" s="16">
        <v>54</v>
      </c>
      <c r="E64" s="16"/>
      <c r="F64" s="16">
        <v>36</v>
      </c>
      <c r="G64" s="16">
        <v>44</v>
      </c>
      <c r="H64" s="16">
        <v>75</v>
      </c>
      <c r="I64" s="16">
        <f t="shared" si="0"/>
        <v>269</v>
      </c>
    </row>
    <row r="65" spans="1:9">
      <c r="A65" s="20" t="s">
        <v>285</v>
      </c>
      <c r="B65" s="20" t="s">
        <v>286</v>
      </c>
      <c r="C65" s="16">
        <v>82</v>
      </c>
      <c r="D65" s="16"/>
      <c r="E65" s="16">
        <v>83</v>
      </c>
      <c r="F65" s="16">
        <v>51</v>
      </c>
      <c r="G65" s="16">
        <v>54</v>
      </c>
      <c r="H65" s="16">
        <v>84</v>
      </c>
      <c r="I65" s="16">
        <f t="shared" si="0"/>
        <v>354</v>
      </c>
    </row>
    <row r="66" spans="1:9">
      <c r="A66" s="20" t="s">
        <v>287</v>
      </c>
      <c r="B66" s="20" t="s">
        <v>288</v>
      </c>
      <c r="C66" s="16">
        <v>87</v>
      </c>
      <c r="D66" s="16">
        <v>84</v>
      </c>
      <c r="E66" s="16"/>
      <c r="F66" s="16">
        <v>64</v>
      </c>
      <c r="G66" s="16">
        <v>66</v>
      </c>
      <c r="H66" s="16">
        <v>93</v>
      </c>
      <c r="I66" s="16">
        <f t="shared" si="0"/>
        <v>394</v>
      </c>
    </row>
    <row r="67" spans="1:9">
      <c r="A67" s="20" t="s">
        <v>289</v>
      </c>
      <c r="B67" s="20" t="s">
        <v>290</v>
      </c>
      <c r="C67" s="16">
        <v>71</v>
      </c>
      <c r="D67" s="16"/>
      <c r="E67" s="16">
        <v>84</v>
      </c>
      <c r="F67" s="16">
        <v>61</v>
      </c>
      <c r="G67" s="16">
        <v>53</v>
      </c>
      <c r="H67" s="16">
        <v>73</v>
      </c>
      <c r="I67" s="16">
        <f t="shared" si="0"/>
        <v>342</v>
      </c>
    </row>
    <row r="68" spans="1:9">
      <c r="A68" s="20" t="s">
        <v>291</v>
      </c>
      <c r="B68" s="20" t="s">
        <v>292</v>
      </c>
      <c r="C68" s="16">
        <v>82</v>
      </c>
      <c r="D68" s="16"/>
      <c r="E68" s="16">
        <v>89</v>
      </c>
      <c r="F68" s="16">
        <v>62</v>
      </c>
      <c r="G68" s="16">
        <v>83</v>
      </c>
      <c r="H68" s="16">
        <v>97</v>
      </c>
      <c r="I68" s="16">
        <f t="shared" si="0"/>
        <v>413</v>
      </c>
    </row>
    <row r="69" spans="1:9">
      <c r="A69" s="20" t="s">
        <v>293</v>
      </c>
      <c r="B69" s="20" t="s">
        <v>294</v>
      </c>
      <c r="C69" s="16">
        <v>66</v>
      </c>
      <c r="D69" s="16">
        <v>66</v>
      </c>
      <c r="E69" s="16"/>
      <c r="F69" s="16">
        <v>41</v>
      </c>
      <c r="G69" s="16">
        <v>47</v>
      </c>
      <c r="H69" s="16">
        <v>73</v>
      </c>
      <c r="I69" s="16">
        <f t="shared" si="0"/>
        <v>293</v>
      </c>
    </row>
    <row r="70" spans="1:9">
      <c r="A70" s="20" t="s">
        <v>295</v>
      </c>
      <c r="B70" s="20" t="s">
        <v>296</v>
      </c>
      <c r="C70" s="16">
        <v>92</v>
      </c>
      <c r="D70" s="16">
        <v>92</v>
      </c>
      <c r="E70" s="16"/>
      <c r="F70" s="16">
        <v>77</v>
      </c>
      <c r="G70" s="16">
        <v>95</v>
      </c>
      <c r="H70" s="16">
        <v>97</v>
      </c>
      <c r="I70" s="16">
        <f t="shared" si="0"/>
        <v>453</v>
      </c>
    </row>
    <row r="71" spans="1:9">
      <c r="A71" s="20" t="s">
        <v>297</v>
      </c>
      <c r="B71" s="20" t="s">
        <v>298</v>
      </c>
      <c r="C71" s="16">
        <v>80</v>
      </c>
      <c r="D71" s="16">
        <v>58</v>
      </c>
      <c r="E71" s="16"/>
      <c r="F71" s="16">
        <v>43</v>
      </c>
      <c r="G71" s="16">
        <v>39</v>
      </c>
      <c r="H71" s="16">
        <v>57</v>
      </c>
      <c r="I71" s="16">
        <f t="shared" si="0"/>
        <v>277</v>
      </c>
    </row>
    <row r="72" spans="1:9">
      <c r="A72" s="20" t="s">
        <v>299</v>
      </c>
      <c r="B72" s="20" t="s">
        <v>300</v>
      </c>
      <c r="C72" s="16">
        <v>57</v>
      </c>
      <c r="D72" s="16"/>
      <c r="E72" s="16">
        <v>46</v>
      </c>
      <c r="F72" s="16">
        <v>37</v>
      </c>
      <c r="G72" s="16">
        <v>33</v>
      </c>
      <c r="H72" s="16">
        <v>70</v>
      </c>
      <c r="I72" s="16">
        <f t="shared" si="0"/>
        <v>243</v>
      </c>
    </row>
    <row r="73" spans="1:9">
      <c r="A73" s="20" t="s">
        <v>301</v>
      </c>
      <c r="B73" s="20" t="s">
        <v>302</v>
      </c>
      <c r="C73" s="16">
        <v>70</v>
      </c>
      <c r="D73" s="16"/>
      <c r="E73" s="16">
        <v>84</v>
      </c>
      <c r="F73" s="16">
        <v>61</v>
      </c>
      <c r="G73" s="16">
        <v>65</v>
      </c>
      <c r="H73" s="16">
        <v>88</v>
      </c>
      <c r="I73" s="16">
        <f t="shared" si="0"/>
        <v>368</v>
      </c>
    </row>
    <row r="74" spans="1:9">
      <c r="A74" s="20" t="s">
        <v>303</v>
      </c>
      <c r="B74" s="20" t="s">
        <v>304</v>
      </c>
      <c r="C74" s="16">
        <v>51</v>
      </c>
      <c r="D74" s="16"/>
      <c r="E74" s="16">
        <v>73</v>
      </c>
      <c r="F74" s="16">
        <v>40</v>
      </c>
      <c r="G74" s="16">
        <v>43</v>
      </c>
      <c r="H74" s="16">
        <v>66</v>
      </c>
      <c r="I74" s="16">
        <f t="shared" si="0"/>
        <v>273</v>
      </c>
    </row>
    <row r="75" spans="1:9">
      <c r="A75" s="20" t="s">
        <v>305</v>
      </c>
      <c r="B75" s="20" t="s">
        <v>306</v>
      </c>
      <c r="C75" s="16">
        <v>73</v>
      </c>
      <c r="D75" s="16"/>
      <c r="E75" s="16">
        <v>93</v>
      </c>
      <c r="F75" s="16">
        <v>52</v>
      </c>
      <c r="G75" s="16">
        <v>67</v>
      </c>
      <c r="H75" s="16">
        <v>65</v>
      </c>
      <c r="I75" s="16">
        <f t="shared" si="0"/>
        <v>350</v>
      </c>
    </row>
    <row r="76" spans="1:9">
      <c r="A76" s="20" t="s">
        <v>307</v>
      </c>
      <c r="B76" s="20" t="s">
        <v>308</v>
      </c>
      <c r="C76" s="16">
        <v>79</v>
      </c>
      <c r="D76" s="16">
        <v>89</v>
      </c>
      <c r="E76" s="16"/>
      <c r="F76" s="16">
        <v>84</v>
      </c>
      <c r="G76" s="16">
        <v>79</v>
      </c>
      <c r="H76" s="16">
        <v>85</v>
      </c>
      <c r="I76" s="16">
        <f t="shared" si="0"/>
        <v>416</v>
      </c>
    </row>
    <row r="77" spans="1:9">
      <c r="A77" s="20" t="s">
        <v>309</v>
      </c>
      <c r="B77" s="20" t="s">
        <v>310</v>
      </c>
      <c r="C77" s="16">
        <v>85</v>
      </c>
      <c r="D77" s="16"/>
      <c r="E77" s="16">
        <v>86</v>
      </c>
      <c r="F77" s="16">
        <v>47</v>
      </c>
      <c r="G77" s="16">
        <v>64</v>
      </c>
      <c r="H77" s="16">
        <v>83</v>
      </c>
      <c r="I77" s="16">
        <f t="shared" si="0"/>
        <v>365</v>
      </c>
    </row>
    <row r="78" spans="1:9">
      <c r="A78" s="20" t="s">
        <v>311</v>
      </c>
      <c r="B78" s="20" t="s">
        <v>312</v>
      </c>
      <c r="C78" s="16">
        <v>78</v>
      </c>
      <c r="D78" s="16"/>
      <c r="E78" s="16">
        <v>71</v>
      </c>
      <c r="F78" s="16">
        <v>44</v>
      </c>
      <c r="G78" s="16">
        <v>65</v>
      </c>
      <c r="H78" s="16">
        <v>86</v>
      </c>
      <c r="I78" s="16">
        <f t="shared" si="0"/>
        <v>344</v>
      </c>
    </row>
  </sheetData>
  <mergeCells count="3">
    <mergeCell ref="B1:I1"/>
    <mergeCell ref="A2:A3"/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>
      <selection activeCell="O19" sqref="O19"/>
    </sheetView>
  </sheetViews>
  <sheetFormatPr defaultRowHeight="15"/>
  <cols>
    <col min="1" max="1" width="36.140625" customWidth="1"/>
    <col min="2" max="8" width="6.85546875" customWidth="1"/>
  </cols>
  <sheetData>
    <row r="1" spans="1:8" s="10" customFormat="1" ht="26.25">
      <c r="A1" s="23" t="s">
        <v>155</v>
      </c>
      <c r="B1" s="8"/>
      <c r="C1" s="8"/>
      <c r="D1" s="8"/>
      <c r="E1" s="8"/>
      <c r="F1" s="8"/>
      <c r="G1" s="8"/>
      <c r="H1" s="8"/>
    </row>
    <row r="2" spans="1:8" s="13" customFormat="1">
      <c r="A2" s="24" t="s">
        <v>156</v>
      </c>
      <c r="B2" s="25"/>
      <c r="C2" s="25"/>
      <c r="D2" s="25"/>
      <c r="E2" s="25"/>
      <c r="F2" s="25"/>
      <c r="G2" s="25"/>
      <c r="H2" s="25"/>
    </row>
    <row r="3" spans="1:8" s="13" customFormat="1" ht="18.75">
      <c r="A3" s="26" t="s">
        <v>313</v>
      </c>
      <c r="B3" s="27"/>
      <c r="C3" s="27"/>
      <c r="D3" s="27"/>
      <c r="E3" s="27"/>
      <c r="F3" s="27"/>
      <c r="G3" s="27"/>
      <c r="H3" s="27"/>
    </row>
    <row r="4" spans="1:8" s="13" customFormat="1">
      <c r="A4" s="19" t="s">
        <v>158</v>
      </c>
      <c r="B4" s="19" t="s">
        <v>159</v>
      </c>
      <c r="C4" s="19" t="s">
        <v>160</v>
      </c>
      <c r="D4" s="19" t="s">
        <v>161</v>
      </c>
      <c r="E4" s="19" t="s">
        <v>162</v>
      </c>
      <c r="F4" s="19" t="s">
        <v>163</v>
      </c>
      <c r="G4" s="19" t="s">
        <v>164</v>
      </c>
      <c r="H4" s="19" t="s">
        <v>8</v>
      </c>
    </row>
    <row r="5" spans="1:8" s="13" customFormat="1">
      <c r="A5" s="21" t="s">
        <v>314</v>
      </c>
      <c r="B5" s="21">
        <v>95</v>
      </c>
      <c r="C5" s="21">
        <v>95</v>
      </c>
      <c r="D5" s="21"/>
      <c r="E5" s="21">
        <v>75</v>
      </c>
      <c r="F5" s="21">
        <v>88</v>
      </c>
      <c r="G5" s="21">
        <v>96</v>
      </c>
      <c r="H5" s="21">
        <f t="shared" ref="H5:H54" si="0">SUM(B5:G5)</f>
        <v>449</v>
      </c>
    </row>
    <row r="6" spans="1:8" s="13" customFormat="1">
      <c r="A6" s="21" t="s">
        <v>315</v>
      </c>
      <c r="B6" s="21">
        <v>89</v>
      </c>
      <c r="C6" s="21">
        <v>91</v>
      </c>
      <c r="D6" s="21"/>
      <c r="E6" s="21">
        <v>81</v>
      </c>
      <c r="F6" s="21">
        <v>95</v>
      </c>
      <c r="G6" s="21">
        <v>92</v>
      </c>
      <c r="H6" s="21">
        <f t="shared" si="0"/>
        <v>448</v>
      </c>
    </row>
    <row r="7" spans="1:8" s="13" customFormat="1">
      <c r="A7" s="21" t="s">
        <v>316</v>
      </c>
      <c r="B7" s="21">
        <v>81</v>
      </c>
      <c r="C7" s="21"/>
      <c r="D7" s="21">
        <v>96</v>
      </c>
      <c r="E7" s="21">
        <v>90</v>
      </c>
      <c r="F7" s="21">
        <v>85</v>
      </c>
      <c r="G7" s="21">
        <v>93</v>
      </c>
      <c r="H7" s="21">
        <f t="shared" si="0"/>
        <v>445</v>
      </c>
    </row>
    <row r="8" spans="1:8" s="13" customFormat="1">
      <c r="A8" s="21" t="s">
        <v>317</v>
      </c>
      <c r="B8" s="21">
        <v>74</v>
      </c>
      <c r="C8" s="21"/>
      <c r="D8" s="21">
        <v>97</v>
      </c>
      <c r="E8" s="21">
        <v>75</v>
      </c>
      <c r="F8" s="21">
        <v>95</v>
      </c>
      <c r="G8" s="21">
        <v>99</v>
      </c>
      <c r="H8" s="21">
        <f t="shared" si="0"/>
        <v>440</v>
      </c>
    </row>
    <row r="9" spans="1:8" s="13" customFormat="1">
      <c r="A9" s="21" t="s">
        <v>318</v>
      </c>
      <c r="B9" s="21">
        <v>87</v>
      </c>
      <c r="C9" s="21">
        <v>87</v>
      </c>
      <c r="D9" s="21"/>
      <c r="E9" s="21">
        <v>84</v>
      </c>
      <c r="F9" s="21">
        <v>90</v>
      </c>
      <c r="G9" s="21">
        <v>86</v>
      </c>
      <c r="H9" s="21">
        <f t="shared" si="0"/>
        <v>434</v>
      </c>
    </row>
    <row r="10" spans="1:8" s="13" customFormat="1">
      <c r="A10" s="21" t="s">
        <v>319</v>
      </c>
      <c r="B10" s="21">
        <v>74</v>
      </c>
      <c r="C10" s="21"/>
      <c r="D10" s="21">
        <v>91</v>
      </c>
      <c r="E10" s="21">
        <v>84</v>
      </c>
      <c r="F10" s="21">
        <v>93</v>
      </c>
      <c r="G10" s="21">
        <v>89</v>
      </c>
      <c r="H10" s="21">
        <f t="shared" si="0"/>
        <v>431</v>
      </c>
    </row>
    <row r="11" spans="1:8" s="13" customFormat="1">
      <c r="A11" s="21" t="s">
        <v>320</v>
      </c>
      <c r="B11" s="21">
        <v>88</v>
      </c>
      <c r="C11" s="21">
        <v>86</v>
      </c>
      <c r="D11" s="21"/>
      <c r="E11" s="21">
        <v>63</v>
      </c>
      <c r="F11" s="21">
        <v>92</v>
      </c>
      <c r="G11" s="21">
        <v>96</v>
      </c>
      <c r="H11" s="21">
        <f t="shared" si="0"/>
        <v>425</v>
      </c>
    </row>
    <row r="12" spans="1:8" s="13" customFormat="1">
      <c r="A12" s="21" t="s">
        <v>321</v>
      </c>
      <c r="B12" s="21">
        <v>82</v>
      </c>
      <c r="C12" s="21">
        <v>87</v>
      </c>
      <c r="D12" s="21"/>
      <c r="E12" s="21">
        <v>71</v>
      </c>
      <c r="F12" s="21">
        <v>87</v>
      </c>
      <c r="G12" s="21">
        <v>90</v>
      </c>
      <c r="H12" s="21">
        <f t="shared" si="0"/>
        <v>417</v>
      </c>
    </row>
    <row r="13" spans="1:8" s="13" customFormat="1">
      <c r="A13" s="21" t="s">
        <v>322</v>
      </c>
      <c r="B13" s="21">
        <v>92</v>
      </c>
      <c r="C13" s="21">
        <v>78</v>
      </c>
      <c r="D13" s="21"/>
      <c r="E13" s="21">
        <v>73</v>
      </c>
      <c r="F13" s="21">
        <v>77</v>
      </c>
      <c r="G13" s="21">
        <v>96</v>
      </c>
      <c r="H13" s="21">
        <f t="shared" si="0"/>
        <v>416</v>
      </c>
    </row>
    <row r="14" spans="1:8" s="13" customFormat="1">
      <c r="A14" s="21" t="s">
        <v>323</v>
      </c>
      <c r="B14" s="21">
        <v>80</v>
      </c>
      <c r="C14" s="21"/>
      <c r="D14" s="21">
        <v>96</v>
      </c>
      <c r="E14" s="21">
        <v>60</v>
      </c>
      <c r="F14" s="21">
        <v>86</v>
      </c>
      <c r="G14" s="21">
        <v>90</v>
      </c>
      <c r="H14" s="21">
        <f t="shared" si="0"/>
        <v>412</v>
      </c>
    </row>
    <row r="15" spans="1:8" s="13" customFormat="1">
      <c r="A15" s="21" t="s">
        <v>324</v>
      </c>
      <c r="B15" s="21">
        <v>79</v>
      </c>
      <c r="C15" s="21"/>
      <c r="D15" s="21">
        <v>93</v>
      </c>
      <c r="E15" s="21">
        <v>71</v>
      </c>
      <c r="F15" s="21">
        <v>79</v>
      </c>
      <c r="G15" s="21">
        <v>90</v>
      </c>
      <c r="H15" s="21">
        <f t="shared" si="0"/>
        <v>412</v>
      </c>
    </row>
    <row r="16" spans="1:8" s="13" customFormat="1">
      <c r="A16" s="21" t="s">
        <v>325</v>
      </c>
      <c r="B16" s="21">
        <v>78</v>
      </c>
      <c r="C16" s="21"/>
      <c r="D16" s="21">
        <v>87</v>
      </c>
      <c r="E16" s="21">
        <v>68</v>
      </c>
      <c r="F16" s="21">
        <v>90</v>
      </c>
      <c r="G16" s="21">
        <v>88</v>
      </c>
      <c r="H16" s="21">
        <f t="shared" si="0"/>
        <v>411</v>
      </c>
    </row>
    <row r="17" spans="1:8" s="13" customFormat="1">
      <c r="A17" s="21" t="s">
        <v>326</v>
      </c>
      <c r="B17" s="21">
        <v>91</v>
      </c>
      <c r="C17" s="21">
        <v>86</v>
      </c>
      <c r="D17" s="21"/>
      <c r="E17" s="21">
        <v>52</v>
      </c>
      <c r="F17" s="21">
        <v>88</v>
      </c>
      <c r="G17" s="21">
        <v>92</v>
      </c>
      <c r="H17" s="21">
        <f t="shared" si="0"/>
        <v>409</v>
      </c>
    </row>
    <row r="18" spans="1:8" s="13" customFormat="1">
      <c r="A18" s="21" t="s">
        <v>327</v>
      </c>
      <c r="B18" s="21">
        <v>84</v>
      </c>
      <c r="C18" s="21">
        <v>73</v>
      </c>
      <c r="D18" s="21"/>
      <c r="E18" s="21">
        <v>77</v>
      </c>
      <c r="F18" s="21">
        <v>77</v>
      </c>
      <c r="G18" s="21">
        <v>93</v>
      </c>
      <c r="H18" s="21">
        <f t="shared" si="0"/>
        <v>404</v>
      </c>
    </row>
    <row r="19" spans="1:8" s="13" customFormat="1">
      <c r="A19" s="21" t="s">
        <v>328</v>
      </c>
      <c r="B19" s="21">
        <v>84</v>
      </c>
      <c r="C19" s="21"/>
      <c r="D19" s="21">
        <v>89</v>
      </c>
      <c r="E19" s="21">
        <v>62</v>
      </c>
      <c r="F19" s="21">
        <v>73</v>
      </c>
      <c r="G19" s="21">
        <v>90</v>
      </c>
      <c r="H19" s="21">
        <f t="shared" si="0"/>
        <v>398</v>
      </c>
    </row>
    <row r="20" spans="1:8" s="13" customFormat="1">
      <c r="A20" s="21" t="s">
        <v>329</v>
      </c>
      <c r="B20" s="21">
        <v>92</v>
      </c>
      <c r="C20" s="21">
        <v>79</v>
      </c>
      <c r="D20" s="21"/>
      <c r="E20" s="21">
        <v>47</v>
      </c>
      <c r="F20" s="21">
        <v>85</v>
      </c>
      <c r="G20" s="21">
        <v>94</v>
      </c>
      <c r="H20" s="21">
        <f t="shared" si="0"/>
        <v>397</v>
      </c>
    </row>
    <row r="21" spans="1:8">
      <c r="A21" s="16" t="s">
        <v>330</v>
      </c>
      <c r="B21" s="16">
        <v>67</v>
      </c>
      <c r="C21" s="16"/>
      <c r="D21" s="16">
        <v>95</v>
      </c>
      <c r="E21" s="16">
        <v>73</v>
      </c>
      <c r="F21" s="16">
        <v>75</v>
      </c>
      <c r="G21" s="16">
        <v>85</v>
      </c>
      <c r="H21" s="16">
        <f t="shared" si="0"/>
        <v>395</v>
      </c>
    </row>
    <row r="22" spans="1:8">
      <c r="A22" s="16" t="s">
        <v>331</v>
      </c>
      <c r="B22" s="16">
        <v>69</v>
      </c>
      <c r="C22" s="16"/>
      <c r="D22" s="16">
        <v>90</v>
      </c>
      <c r="E22" s="16">
        <v>70</v>
      </c>
      <c r="F22" s="16">
        <v>81</v>
      </c>
      <c r="G22" s="16">
        <v>77</v>
      </c>
      <c r="H22" s="16">
        <f t="shared" si="0"/>
        <v>387</v>
      </c>
    </row>
    <row r="23" spans="1:8">
      <c r="A23" s="16" t="s">
        <v>332</v>
      </c>
      <c r="B23" s="16">
        <v>65</v>
      </c>
      <c r="C23" s="16"/>
      <c r="D23" s="16">
        <v>85</v>
      </c>
      <c r="E23" s="16">
        <v>61</v>
      </c>
      <c r="F23" s="16">
        <v>77</v>
      </c>
      <c r="G23" s="16">
        <v>94</v>
      </c>
      <c r="H23" s="16">
        <f t="shared" si="0"/>
        <v>382</v>
      </c>
    </row>
    <row r="24" spans="1:8">
      <c r="A24" s="16" t="s">
        <v>333</v>
      </c>
      <c r="B24" s="16">
        <v>61</v>
      </c>
      <c r="C24" s="16"/>
      <c r="D24" s="16">
        <v>94</v>
      </c>
      <c r="E24" s="16">
        <v>62</v>
      </c>
      <c r="F24" s="16">
        <v>71</v>
      </c>
      <c r="G24" s="16">
        <v>83</v>
      </c>
      <c r="H24" s="16">
        <f t="shared" si="0"/>
        <v>371</v>
      </c>
    </row>
    <row r="25" spans="1:8">
      <c r="A25" s="16" t="s">
        <v>334</v>
      </c>
      <c r="B25" s="16">
        <v>70</v>
      </c>
      <c r="C25" s="16"/>
      <c r="D25" s="16">
        <v>98</v>
      </c>
      <c r="E25" s="16">
        <v>61</v>
      </c>
      <c r="F25" s="16">
        <v>55</v>
      </c>
      <c r="G25" s="16">
        <v>86</v>
      </c>
      <c r="H25" s="16">
        <f t="shared" si="0"/>
        <v>370</v>
      </c>
    </row>
    <row r="26" spans="1:8">
      <c r="A26" s="16" t="s">
        <v>335</v>
      </c>
      <c r="B26" s="16">
        <v>78</v>
      </c>
      <c r="C26" s="16">
        <v>77</v>
      </c>
      <c r="D26" s="16"/>
      <c r="E26" s="16">
        <v>68</v>
      </c>
      <c r="F26" s="16">
        <v>68</v>
      </c>
      <c r="G26" s="16">
        <v>78</v>
      </c>
      <c r="H26" s="16">
        <f t="shared" si="0"/>
        <v>369</v>
      </c>
    </row>
    <row r="27" spans="1:8">
      <c r="A27" s="16" t="s">
        <v>336</v>
      </c>
      <c r="B27" s="16">
        <v>86</v>
      </c>
      <c r="C27" s="16">
        <v>82</v>
      </c>
      <c r="D27" s="16"/>
      <c r="E27" s="16">
        <v>48</v>
      </c>
      <c r="F27" s="16">
        <v>71</v>
      </c>
      <c r="G27" s="16">
        <v>80</v>
      </c>
      <c r="H27" s="16">
        <f t="shared" si="0"/>
        <v>367</v>
      </c>
    </row>
    <row r="28" spans="1:8">
      <c r="A28" s="16" t="s">
        <v>337</v>
      </c>
      <c r="B28" s="16">
        <v>70</v>
      </c>
      <c r="C28" s="16"/>
      <c r="D28" s="16">
        <v>96</v>
      </c>
      <c r="E28" s="16">
        <v>49</v>
      </c>
      <c r="F28" s="16">
        <v>60</v>
      </c>
      <c r="G28" s="16">
        <v>81</v>
      </c>
      <c r="H28" s="16">
        <f t="shared" si="0"/>
        <v>356</v>
      </c>
    </row>
    <row r="29" spans="1:8">
      <c r="A29" s="16" t="s">
        <v>338</v>
      </c>
      <c r="B29" s="16">
        <v>59</v>
      </c>
      <c r="C29" s="16"/>
      <c r="D29" s="16">
        <v>84</v>
      </c>
      <c r="E29" s="16">
        <v>60</v>
      </c>
      <c r="F29" s="16">
        <v>58</v>
      </c>
      <c r="G29" s="16">
        <v>89</v>
      </c>
      <c r="H29" s="16">
        <f t="shared" si="0"/>
        <v>350</v>
      </c>
    </row>
    <row r="30" spans="1:8">
      <c r="A30" s="16" t="s">
        <v>339</v>
      </c>
      <c r="B30" s="16">
        <v>79</v>
      </c>
      <c r="C30" s="16">
        <v>74</v>
      </c>
      <c r="D30" s="16"/>
      <c r="E30" s="16">
        <v>55</v>
      </c>
      <c r="F30" s="16">
        <v>59</v>
      </c>
      <c r="G30" s="16">
        <v>81</v>
      </c>
      <c r="H30" s="16">
        <f t="shared" si="0"/>
        <v>348</v>
      </c>
    </row>
    <row r="31" spans="1:8">
      <c r="A31" s="16" t="s">
        <v>340</v>
      </c>
      <c r="B31" s="16">
        <v>61</v>
      </c>
      <c r="C31" s="16"/>
      <c r="D31" s="16">
        <v>98</v>
      </c>
      <c r="E31" s="16">
        <v>52</v>
      </c>
      <c r="F31" s="16">
        <v>62</v>
      </c>
      <c r="G31" s="16">
        <v>73</v>
      </c>
      <c r="H31" s="16">
        <f t="shared" si="0"/>
        <v>346</v>
      </c>
    </row>
    <row r="32" spans="1:8">
      <c r="A32" s="16" t="s">
        <v>341</v>
      </c>
      <c r="B32" s="16">
        <v>81</v>
      </c>
      <c r="C32" s="16">
        <v>79</v>
      </c>
      <c r="D32" s="16"/>
      <c r="E32" s="16">
        <v>49</v>
      </c>
      <c r="F32" s="16">
        <v>59</v>
      </c>
      <c r="G32" s="16">
        <v>73</v>
      </c>
      <c r="H32" s="16">
        <f t="shared" si="0"/>
        <v>341</v>
      </c>
    </row>
    <row r="33" spans="1:8">
      <c r="A33" s="16" t="s">
        <v>342</v>
      </c>
      <c r="B33" s="16">
        <v>68</v>
      </c>
      <c r="C33" s="16">
        <v>85</v>
      </c>
      <c r="D33" s="16"/>
      <c r="E33" s="16">
        <v>51</v>
      </c>
      <c r="F33" s="16">
        <v>51</v>
      </c>
      <c r="G33" s="16">
        <v>86</v>
      </c>
      <c r="H33" s="16">
        <f t="shared" si="0"/>
        <v>341</v>
      </c>
    </row>
    <row r="34" spans="1:8">
      <c r="A34" s="16" t="s">
        <v>343</v>
      </c>
      <c r="B34" s="16">
        <v>79</v>
      </c>
      <c r="C34" s="16">
        <v>70</v>
      </c>
      <c r="D34" s="16"/>
      <c r="E34" s="16">
        <v>45</v>
      </c>
      <c r="F34" s="16">
        <v>64</v>
      </c>
      <c r="G34" s="16">
        <v>82</v>
      </c>
      <c r="H34" s="16">
        <f t="shared" si="0"/>
        <v>340</v>
      </c>
    </row>
    <row r="35" spans="1:8">
      <c r="A35" s="16" t="s">
        <v>344</v>
      </c>
      <c r="B35" s="16">
        <v>84</v>
      </c>
      <c r="C35" s="16">
        <v>67</v>
      </c>
      <c r="D35" s="16"/>
      <c r="E35" s="16">
        <v>57</v>
      </c>
      <c r="F35" s="16">
        <v>54</v>
      </c>
      <c r="G35" s="16">
        <v>76</v>
      </c>
      <c r="H35" s="16">
        <f t="shared" si="0"/>
        <v>338</v>
      </c>
    </row>
    <row r="36" spans="1:8">
      <c r="A36" s="16" t="s">
        <v>345</v>
      </c>
      <c r="B36" s="16">
        <v>62</v>
      </c>
      <c r="C36" s="16"/>
      <c r="D36" s="16">
        <v>93</v>
      </c>
      <c r="E36" s="16">
        <v>43</v>
      </c>
      <c r="F36" s="16">
        <v>50</v>
      </c>
      <c r="G36" s="16">
        <v>80</v>
      </c>
      <c r="H36" s="16">
        <f t="shared" si="0"/>
        <v>328</v>
      </c>
    </row>
    <row r="37" spans="1:8">
      <c r="A37" s="16" t="s">
        <v>346</v>
      </c>
      <c r="B37" s="16">
        <v>58</v>
      </c>
      <c r="C37" s="16">
        <v>73</v>
      </c>
      <c r="D37" s="16"/>
      <c r="E37" s="16">
        <v>68</v>
      </c>
      <c r="F37" s="16">
        <v>68</v>
      </c>
      <c r="G37" s="16">
        <v>53</v>
      </c>
      <c r="H37" s="16">
        <f t="shared" si="0"/>
        <v>320</v>
      </c>
    </row>
    <row r="38" spans="1:8">
      <c r="A38" s="16" t="s">
        <v>347</v>
      </c>
      <c r="B38" s="16">
        <v>62</v>
      </c>
      <c r="C38" s="16"/>
      <c r="D38" s="16">
        <v>87</v>
      </c>
      <c r="E38" s="16">
        <v>44</v>
      </c>
      <c r="F38" s="16">
        <v>49</v>
      </c>
      <c r="G38" s="16">
        <v>73</v>
      </c>
      <c r="H38" s="16">
        <f t="shared" si="0"/>
        <v>315</v>
      </c>
    </row>
    <row r="39" spans="1:8">
      <c r="A39" s="16" t="s">
        <v>348</v>
      </c>
      <c r="B39" s="16">
        <v>64</v>
      </c>
      <c r="C39" s="16"/>
      <c r="D39" s="16">
        <v>82</v>
      </c>
      <c r="E39" s="16">
        <v>44</v>
      </c>
      <c r="F39" s="16">
        <v>44</v>
      </c>
      <c r="G39" s="16">
        <v>70</v>
      </c>
      <c r="H39" s="16">
        <f t="shared" si="0"/>
        <v>304</v>
      </c>
    </row>
    <row r="40" spans="1:8">
      <c r="A40" s="16" t="s">
        <v>349</v>
      </c>
      <c r="B40" s="16">
        <v>53</v>
      </c>
      <c r="C40" s="16"/>
      <c r="D40" s="16">
        <v>72</v>
      </c>
      <c r="E40" s="16">
        <v>52</v>
      </c>
      <c r="F40" s="16">
        <v>56</v>
      </c>
      <c r="G40" s="16">
        <v>64</v>
      </c>
      <c r="H40" s="16">
        <f t="shared" si="0"/>
        <v>297</v>
      </c>
    </row>
    <row r="41" spans="1:8">
      <c r="A41" s="16" t="s">
        <v>350</v>
      </c>
      <c r="B41" s="16">
        <v>66</v>
      </c>
      <c r="C41" s="16">
        <v>63</v>
      </c>
      <c r="D41" s="16"/>
      <c r="E41" s="16">
        <v>42</v>
      </c>
      <c r="F41" s="16">
        <v>50</v>
      </c>
      <c r="G41" s="16">
        <v>66</v>
      </c>
      <c r="H41" s="16">
        <f t="shared" si="0"/>
        <v>287</v>
      </c>
    </row>
    <row r="42" spans="1:8">
      <c r="A42" s="16" t="s">
        <v>351</v>
      </c>
      <c r="B42" s="16">
        <v>62</v>
      </c>
      <c r="C42" s="16"/>
      <c r="D42" s="16">
        <v>68</v>
      </c>
      <c r="E42" s="16">
        <v>45</v>
      </c>
      <c r="F42" s="16">
        <v>52</v>
      </c>
      <c r="G42" s="16">
        <v>59</v>
      </c>
      <c r="H42" s="16">
        <f t="shared" si="0"/>
        <v>286</v>
      </c>
    </row>
    <row r="43" spans="1:8">
      <c r="A43" s="16" t="s">
        <v>352</v>
      </c>
      <c r="B43" s="16">
        <v>73</v>
      </c>
      <c r="C43" s="16">
        <v>58</v>
      </c>
      <c r="D43" s="16"/>
      <c r="E43" s="16">
        <v>57</v>
      </c>
      <c r="F43" s="16">
        <v>44</v>
      </c>
      <c r="G43" s="16">
        <v>51</v>
      </c>
      <c r="H43" s="16">
        <f t="shared" si="0"/>
        <v>283</v>
      </c>
    </row>
    <row r="44" spans="1:8">
      <c r="A44" s="16" t="s">
        <v>353</v>
      </c>
      <c r="B44" s="16">
        <v>53</v>
      </c>
      <c r="C44" s="16"/>
      <c r="D44" s="16">
        <v>69</v>
      </c>
      <c r="E44" s="16">
        <v>40</v>
      </c>
      <c r="F44" s="16">
        <v>44</v>
      </c>
      <c r="G44" s="16">
        <v>60</v>
      </c>
      <c r="H44" s="16">
        <f t="shared" si="0"/>
        <v>266</v>
      </c>
    </row>
    <row r="45" spans="1:8">
      <c r="A45" s="16" t="s">
        <v>354</v>
      </c>
      <c r="B45" s="16">
        <v>61</v>
      </c>
      <c r="C45" s="16">
        <v>60</v>
      </c>
      <c r="D45" s="16"/>
      <c r="E45" s="16">
        <v>46</v>
      </c>
      <c r="F45" s="16">
        <v>40</v>
      </c>
      <c r="G45" s="16">
        <v>57</v>
      </c>
      <c r="H45" s="16">
        <f t="shared" si="0"/>
        <v>264</v>
      </c>
    </row>
    <row r="46" spans="1:8">
      <c r="A46" s="16" t="s">
        <v>355</v>
      </c>
      <c r="B46" s="16">
        <v>50</v>
      </c>
      <c r="C46" s="16"/>
      <c r="D46" s="16">
        <v>68</v>
      </c>
      <c r="E46" s="16">
        <v>44</v>
      </c>
      <c r="F46" s="16">
        <v>35</v>
      </c>
      <c r="G46" s="16">
        <v>58</v>
      </c>
      <c r="H46" s="16">
        <f t="shared" si="0"/>
        <v>255</v>
      </c>
    </row>
    <row r="47" spans="1:8">
      <c r="A47" s="16" t="s">
        <v>356</v>
      </c>
      <c r="B47" s="16">
        <v>57</v>
      </c>
      <c r="C47" s="16"/>
      <c r="D47" s="16">
        <v>62</v>
      </c>
      <c r="E47" s="16">
        <v>40</v>
      </c>
      <c r="F47" s="16">
        <v>37</v>
      </c>
      <c r="G47" s="16">
        <v>57</v>
      </c>
      <c r="H47" s="16">
        <f t="shared" si="0"/>
        <v>253</v>
      </c>
    </row>
    <row r="48" spans="1:8">
      <c r="A48" s="16" t="s">
        <v>357</v>
      </c>
      <c r="B48" s="16">
        <v>45</v>
      </c>
      <c r="C48" s="16"/>
      <c r="D48" s="16">
        <v>59</v>
      </c>
      <c r="E48" s="16">
        <v>43</v>
      </c>
      <c r="F48" s="16">
        <v>43</v>
      </c>
      <c r="G48" s="16">
        <v>52</v>
      </c>
      <c r="H48" s="16">
        <f t="shared" si="0"/>
        <v>242</v>
      </c>
    </row>
    <row r="49" spans="1:8">
      <c r="A49" s="16" t="s">
        <v>358</v>
      </c>
      <c r="B49" s="16">
        <v>49</v>
      </c>
      <c r="C49" s="16"/>
      <c r="D49" s="16">
        <v>48</v>
      </c>
      <c r="E49" s="16">
        <v>43</v>
      </c>
      <c r="F49" s="16">
        <v>51</v>
      </c>
      <c r="G49" s="16">
        <v>50</v>
      </c>
      <c r="H49" s="16">
        <f t="shared" si="0"/>
        <v>241</v>
      </c>
    </row>
    <row r="50" spans="1:8">
      <c r="A50" s="16" t="s">
        <v>359</v>
      </c>
      <c r="B50" s="16">
        <v>41</v>
      </c>
      <c r="C50" s="16"/>
      <c r="D50" s="16">
        <v>64</v>
      </c>
      <c r="E50" s="16">
        <v>41</v>
      </c>
      <c r="F50" s="16">
        <v>42</v>
      </c>
      <c r="G50" s="16">
        <v>47</v>
      </c>
      <c r="H50" s="16">
        <f t="shared" si="0"/>
        <v>235</v>
      </c>
    </row>
    <row r="51" spans="1:8">
      <c r="A51" s="16" t="s">
        <v>360</v>
      </c>
      <c r="B51" s="16">
        <v>43</v>
      </c>
      <c r="C51" s="16"/>
      <c r="D51" s="16">
        <v>51</v>
      </c>
      <c r="E51" s="16">
        <v>37</v>
      </c>
      <c r="F51" s="16">
        <v>41</v>
      </c>
      <c r="G51" s="16">
        <v>62</v>
      </c>
      <c r="H51" s="16">
        <f t="shared" si="0"/>
        <v>234</v>
      </c>
    </row>
    <row r="52" spans="1:8">
      <c r="A52" s="16" t="s">
        <v>361</v>
      </c>
      <c r="B52" s="16">
        <v>47</v>
      </c>
      <c r="C52" s="16"/>
      <c r="D52" s="16">
        <v>54</v>
      </c>
      <c r="E52" s="16">
        <v>45</v>
      </c>
      <c r="F52" s="16">
        <v>38</v>
      </c>
      <c r="G52" s="16">
        <v>48</v>
      </c>
      <c r="H52" s="16">
        <f t="shared" si="0"/>
        <v>232</v>
      </c>
    </row>
    <row r="53" spans="1:8">
      <c r="A53" s="16" t="s">
        <v>362</v>
      </c>
      <c r="B53" s="16">
        <v>52</v>
      </c>
      <c r="C53" s="16">
        <v>51</v>
      </c>
      <c r="D53" s="16"/>
      <c r="E53" s="16">
        <v>43</v>
      </c>
      <c r="F53" s="16">
        <v>35</v>
      </c>
      <c r="G53" s="16">
        <v>47</v>
      </c>
      <c r="H53" s="16">
        <f t="shared" si="0"/>
        <v>228</v>
      </c>
    </row>
    <row r="54" spans="1:8">
      <c r="A54" s="16" t="s">
        <v>363</v>
      </c>
      <c r="B54" s="16">
        <v>37</v>
      </c>
      <c r="C54" s="16"/>
      <c r="D54" s="16">
        <v>47</v>
      </c>
      <c r="E54" s="16">
        <v>38</v>
      </c>
      <c r="F54" s="16">
        <v>34</v>
      </c>
      <c r="G54" s="16">
        <v>59</v>
      </c>
      <c r="H54" s="16">
        <f t="shared" si="0"/>
        <v>215</v>
      </c>
    </row>
  </sheetData>
  <mergeCells count="2">
    <mergeCell ref="A1:H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2026-06-11T07:58:46Z</dcterms:modified>
</cp:coreProperties>
</file>